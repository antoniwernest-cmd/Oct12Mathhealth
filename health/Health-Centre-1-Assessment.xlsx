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ec7638447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aad7721a79645a9"/>
    <x:sheet xmlns:r="http://schemas.openxmlformats.org/officeDocument/2006/relationships" name="Excite Day 1" sheetId="2" r:id="R2ab791e53fa94b8e"/>
    <x:sheet xmlns:r="http://schemas.openxmlformats.org/officeDocument/2006/relationships" name="Excite Day 2" sheetId="3" r:id="Rd2c8c5297eed406e"/>
    <x:sheet xmlns:r="http://schemas.openxmlformats.org/officeDocument/2006/relationships" name="Excite Day 3" sheetId="4" r:id="R1900beddb8994c05"/>
    <x:sheet xmlns:r="http://schemas.openxmlformats.org/officeDocument/2006/relationships" name="Excite Day 4" sheetId="5" r:id="R0e0396d744f9436e"/>
    <x:sheet xmlns:r="http://schemas.openxmlformats.org/officeDocument/2006/relationships" name="Excite Day 5" sheetId="6" r:id="R39bcb995bd914a0d"/>
    <x:sheet xmlns:r="http://schemas.openxmlformats.org/officeDocument/2006/relationships" name="Inspire Day 1" sheetId="7" r:id="Rb5377b8668cb4873"/>
    <x:sheet xmlns:r="http://schemas.openxmlformats.org/officeDocument/2006/relationships" name="Inspire Day 2" sheetId="8" r:id="Rd93ef9a771304f31"/>
    <x:sheet xmlns:r="http://schemas.openxmlformats.org/officeDocument/2006/relationships" name="Inspire Day 3" sheetId="9" r:id="R7eca149ccfa546dc"/>
    <x:sheet xmlns:r="http://schemas.openxmlformats.org/officeDocument/2006/relationships" name="Inspire Day 4" sheetId="10" r:id="R83cd7ba65e03426f"/>
    <x:sheet xmlns:r="http://schemas.openxmlformats.org/officeDocument/2006/relationships" name="Inspire Day 5" sheetId="11" r:id="R206daa739c414bd4"/>
    <x:sheet xmlns:r="http://schemas.openxmlformats.org/officeDocument/2006/relationships" name="Daily summary" sheetId="12" r:id="R4490624548c34251"/>
    <x:sheet xmlns:r="http://schemas.openxmlformats.org/officeDocument/2006/relationships" name="Expectations" sheetId="13" r:id="Ref8ef693f8614c91"/>
    <x:sheet xmlns:r="http://schemas.openxmlformats.org/officeDocument/2006/relationships" name="Answer guide" sheetId="14" r:id="Rd11b5550c706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5">
    <x:font>
      <x:sz val="11"/>
      <x:name val="Carlito"/>
    </x:font>
    <x:font>
      <x:sz val="11"/>
      <x:color rgb="FF173A42"/>
      <x:name val="Century Gothic"/>
    </x:font>
    <x:font>
      <x:b/>
      <x:sz val="18"/>
      <x:color rgb="FF173A42"/>
      <x:name val="Century Gothic"/>
    </x:font>
    <x:font>
      <x:b/>
      <x:sz val="11"/>
      <x:color rgb="FF173A42"/>
      <x:name val="Century Gothic"/>
    </x:font>
    <x:font>
      <x:b/>
      <x:sz val="11"/>
      <x:color rgb="FFFFFFFF"/>
      <x:name val="Century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FFF5D8"/>
      </x:patternFill>
    </x:fill>
    <x:fill>
      <x:patternFill patternType="solid">
        <x:fgColor rgb="FF126A6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cf0ff526f4fcb" /><Relationship Type="http://schemas.openxmlformats.org/officeDocument/2006/relationships/theme" Target="/xl/theme/theme1.xml" Id="Rfa46f2c3b730458a" /><Relationship Type="http://schemas.openxmlformats.org/officeDocument/2006/relationships/sharedStrings" Target="/xl/sharedStrings.xml" Id="R49db00c82a7f4e7e" /><Relationship Type="http://schemas.openxmlformats.org/officeDocument/2006/relationships/worksheet" Target="/xl/worksheets/sheet1.xml" Id="R7aad7721a79645a9" /><Relationship Type="http://schemas.openxmlformats.org/officeDocument/2006/relationships/worksheet" Target="/xl/worksheets/sheet2.xml" Id="R2ab791e53fa94b8e" /><Relationship Type="http://schemas.openxmlformats.org/officeDocument/2006/relationships/worksheet" Target="/xl/worksheets/sheet3.xml" Id="Rd2c8c5297eed406e" /><Relationship Type="http://schemas.openxmlformats.org/officeDocument/2006/relationships/worksheet" Target="/xl/worksheets/sheet4.xml" Id="R1900beddb8994c05" /><Relationship Type="http://schemas.openxmlformats.org/officeDocument/2006/relationships/worksheet" Target="/xl/worksheets/sheet5.xml" Id="R0e0396d744f9436e" /><Relationship Type="http://schemas.openxmlformats.org/officeDocument/2006/relationships/worksheet" Target="/xl/worksheets/sheet6.xml" Id="R39bcb995bd914a0d" /><Relationship Type="http://schemas.openxmlformats.org/officeDocument/2006/relationships/worksheet" Target="/xl/worksheets/sheet7.xml" Id="Rb5377b8668cb4873" /><Relationship Type="http://schemas.openxmlformats.org/officeDocument/2006/relationships/worksheet" Target="/xl/worksheets/sheet8.xml" Id="Rd93ef9a771304f31" /><Relationship Type="http://schemas.openxmlformats.org/officeDocument/2006/relationships/worksheet" Target="/xl/worksheets/sheet9.xml" Id="R7eca149ccfa546dc" /><Relationship Type="http://schemas.openxmlformats.org/officeDocument/2006/relationships/worksheet" Target="/xl/worksheets/sheet10.xml" Id="R83cd7ba65e03426f" /><Relationship Type="http://schemas.openxmlformats.org/officeDocument/2006/relationships/worksheet" Target="/xl/worksheets/sheet11.xml" Id="R206daa739c414bd4" /><Relationship Type="http://schemas.openxmlformats.org/officeDocument/2006/relationships/worksheet" Target="/xl/worksheets/sheet12.xml" Id="R4490624548c34251" /><Relationship Type="http://schemas.openxmlformats.org/officeDocument/2006/relationships/worksheet" Target="/xl/worksheets/sheet13.xml" Id="Ref8ef693f8614c91" /><Relationship Type="http://schemas.openxmlformats.org/officeDocument/2006/relationships/worksheet" Target="/xl/worksheets/sheet14.xml" Id="Rd11b5550c7064bea" /></Relationships>
</file>

<file path=xl/tables/table1.xml><?xml version="1.0" encoding="utf-8"?>
<x:table xmlns:x="http://schemas.openxmlformats.org/spreadsheetml/2006/main" id="1" name="ExciteDay1Health" displayName="ExciteDay1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iteDay2Health" displayName="ExciteDay2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iteDay3Health" displayName="ExciteDay3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iteDay4Health" displayName="ExciteDay4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iteDay5Health" displayName="ExciteDay5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pireDay1Health" displayName="InspireDay1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pireDay2Health" displayName="InspireDay2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pireDay3Health" displayName="InspireDay3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spireDay4Health" displayName="InspireDay4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spireDay5Health" displayName="InspireDay5Health" ref="A4:I14" headerRowCount="1" totalsRowCount="0" totalsRowShown="0">
  <x:tableColumns count="9">
    <x:tableColumn id="1" name="Q"/>
    <x:tableColumn id="2" name="Health activity"/>
    <x:tableColumn id="3" name="Health expectations"/>
    <x:tableColumn id="4" name="Level"/>
    <x:tableColumn id="5" name="Support"/>
    <x:tableColumn id="6" name="Assessment type"/>
    <x:tableColumn id="7" name="Date"/>
    <x:tableColumn id="8" name="Finished"/>
    <x:tableColumn id="9" name="Evidence / next ste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ilyEvidence" displayName="DailyEvidence" ref="A4:H34" headerRowCount="1" totalsRowCount="0" totalsRowShown="0">
  <x:tableColumns count="8">
    <x:tableColumn id="1" name="Grade set"/>
    <x:tableColumn id="2" name="Day"/>
    <x:tableColumn id="3" name="Area"/>
    <x:tableColumn id="4" name="Observed tasks"/>
    <x:tableColumn id="5" name="Mean level"/>
    <x:tableColumn id="6" name="Level 3"/>
    <x:tableColumn id="7" name="Level 4"/>
    <x:tableColumn id="8" name="Marked finish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2c122b4b124c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3ccdaa87a4d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694509fc0c4d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02a9d5f13441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bafab11bc54f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823a57377242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c5eea222e24b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c2cf5454d54f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2dedfba39c43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53289043a3a46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8f6ec4b4e034f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4" hidden="0" customWidth="1"/>
  </x:cols>
  <x:sheetData>
    <x:row r="1" ht="36" customHeight="1">
      <x:c r="A1" s="5" t="str">
        <x:v>Health Centre 1 - assessment</x:v>
      </x:c>
      <x:c r="B1" s="6"/>
    </x:row>
    <x:row r="2" ht="36" customHeight="1">
      <x:c r="A2" s="6" t="str">
        <x:v>Five independent days for each grade. Health only.</x:v>
      </x:c>
      <x:c r="B2" s="6"/>
    </x:row>
    <x:row r="3" ht="70" customHeight="1">
      <x:c r="A3" s="3"/>
      <x:c r="B3" s="3"/>
    </x:row>
    <x:row r="4" ht="70" customHeight="1">
      <x:c r="A4" s="8" t="str">
        <x:v>Use</x:v>
      </x:c>
      <x:c r="B4" s="3" t="str">
        <x:v>Use one workbook per learner. Each daily tab has 10 Health tasks.</x:v>
      </x:c>
    </x:row>
    <x:row r="5" ht="70" customHeight="1">
      <x:c r="A5" s="8" t="str">
        <x:v>Learner</x:v>
      </x:c>
      <x:c r="B5" s="7"/>
    </x:row>
    <x:row r="6" ht="70" customHeight="1">
      <x:c r="A6" s="8" t="str">
        <x:v>Teacher</x:v>
      </x:c>
      <x:c r="B6" s="7"/>
    </x:row>
    <x:row r="7" ht="70" customHeight="1">
      <x:c r="A7" s="8" t="str">
        <x:v>Date</x:v>
      </x:c>
      <x:c r="B7" s="7"/>
    </x:row>
    <x:row r="8" ht="90" customHeight="1">
      <x:c r="A8" s="8" t="str">
        <x:v>Levels</x:v>
      </x:c>
      <x:c r="B8" s="3" t="str">
        <x:v>N = not observed; 1 = limited; 2 = developing; 3 = considerable; 4 = thorough. Recording guides do not automatically assign report-card grades.</x:v>
      </x:c>
    </x:row>
    <x:row r="9" ht="90" customHeight="1">
      <x:c r="A9" s="8" t="str">
        <x:v>Student files</x:v>
      </x:c>
      <x:c r="B9" s="3" t="str">
        <x:v>Open this project’s index.html. Pick Excite or Inspire, then a day. No login or typed answer is required.</x:v>
      </x:c>
    </x:row>
    <x:row r="10" ht="90" customHeight="1">
      <x:c r="A10" s="8" t="str">
        <x:v>Assessment</x:v>
      </x:c>
      <x:c r="B10" s="3" t="str">
        <x:v>Enter level, support, formative/summative type, date, completion and evidence in the pale yellow cells. Each day is independent.</x:v>
      </x:c>
    </x:row>
    <x:row r="11" ht="90" customHeight="1">
      <x:c r="A11" s="8" t="str">
        <x:v>Feedback</x:v>
      </x:c>
      <x:c r="B11" s="3" t="str">
        <x:v>Automatic checks and Finished ticks are separate from teacher achievement levels.</x:v>
      </x:c>
    </x:row>
    <x:row r="12" ht="90" customHeight="1">
      <x:c r="A12" s="8" t="str">
        <x:v>Daily summary</x:v>
      </x:c>
      <x:c r="B12" s="3" t="str">
        <x:v>Counts and mean levels use only the selected day. Blank levels and N are excluded from means. Oral health and personal safety have their own subset summaries.</x:v>
      </x:c>
    </x:row>
    <x:row r="13" ht="90" customHeight="1">
      <x:c r="A13" s="8" t="str">
        <x:v>Expectations</x:v>
      </x:c>
      <x:c r="B13" s="3" t="str">
        <x:v>The Expectations sheet maps each linked code to the daily questions. Each task provides evidence for the skill it asks about, not every part of a broad expectation.</x:v>
      </x:c>
    </x:row>
    <x:row r="14" ht="90" customHeight="1">
      <x:c r="A14" s="8" t="str">
        <x:v>Evidence</x:v>
      </x:c>
      <x:c r="B14" s="3" t="str">
        <x:v>Consider reading and access support. Ingredient clues guide processing sorts; packaging alone does not define a processing level. Plate sections show proportions, not serving counts.</x:v>
      </x:c>
    </x:row>
    <x:row r="15" ht="90" customHeight="1">
      <x:c r="A15" s="8" t="str">
        <x:v>Sources</x:v>
      </x:c>
      <x:c r="B15" s="3" t="str">
        <x:v>https://www.edu.gov.on.ca/eng/curriculum/elementary/2019-health-physical-education-grades-1to8.pdf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Excite Grade 2 - Day 1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D2.1, D2.2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Finish a lunch</x:v>
      </x:c>
      <x:c r="C6" s="3" t="str">
        <x:v>D2.2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Brush morning and night</x:v>
      </x:c>
      <x:c r="C7" s="3" t="str">
        <x:v>D2.4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Water with a snack</x:v>
      </x:c>
      <x:c r="C8" s="3" t="str">
        <x:v>D2.4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Cut a snack safely</x:v>
      </x:c>
      <x:c r="C9" s="3" t="str">
        <x:v>D1.1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Check food allergies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Listen to “no”</x:v>
      </x:c>
      <x:c r="C11" s="3" t="str">
        <x:v>D2.3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worried tummy</x:v>
      </x:c>
      <x:c r="C12" s="3" t="str">
        <x:v>D1.6, D2.5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Different lunches</x:v>
      </x:c>
      <x:c r="C13" s="3" t="str">
        <x:v>D3.1, D2.2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Check before clicking</x:v>
      </x:c>
      <x:c r="C14" s="3" t="str">
        <x:v>D1.1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2c122b4b124c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Excite Grade 2 - Day 2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D2.1, D2.2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Finish a lunch</x:v>
      </x:c>
      <x:c r="C6" s="3" t="str">
        <x:v>D2.2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Make a brushing reminder</x:v>
      </x:c>
      <x:c r="C7" s="3" t="str">
        <x:v>D2.4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Drink with lunch</x:v>
      </x:c>
      <x:c r="C8" s="3" t="str">
        <x:v>D2.4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Cross with a grown-up</x:v>
      </x:c>
      <x:c r="C9" s="3" t="str">
        <x:v>D1.1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Check food allergies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Ask before borrowing</x:v>
      </x:c>
      <x:c r="C11" s="3" t="str">
        <x:v>D2.3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loud room</x:v>
      </x:c>
      <x:c r="C12" s="3" t="str">
        <x:v>D1.6, D2.5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Try or say no</x:v>
      </x:c>
      <x:c r="C13" s="3" t="str">
        <x:v>D3.1, D2.2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An upsetting message</x:v>
      </x:c>
      <x:c r="C14" s="3" t="str">
        <x:v>D1.1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3ccdaa87a4d9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Excite Grade 2 - Day 3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D2.1, D2.2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Finish a lunch</x:v>
      </x:c>
      <x:c r="C6" s="3" t="str">
        <x:v>D2.2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Clean every side</x:v>
      </x:c>
      <x:c r="C7" s="3" t="str">
        <x:v>D2.4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Pack a water bottle</x:v>
      </x:c>
      <x:c r="C8" s="3" t="str">
        <x:v>D2.4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Stay with your group</x:v>
      </x:c>
      <x:c r="C9" s="3" t="str">
        <x:v>D1.1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Check food allergies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Choose a game together</x:v>
      </x:c>
      <x:c r="C11" s="3" t="str">
        <x:v>D2.3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tricky task</x:v>
      </x:c>
      <x:c r="C12" s="3" t="str">
        <x:v>D1.6, D2.5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Pick a snack at the farm</x:v>
      </x:c>
      <x:c r="C13" s="3" t="str">
        <x:v>D2.2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Before a download</x:v>
      </x:c>
      <x:c r="C14" s="3" t="str">
        <x:v>D1.1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94509fc0c4d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Excite Grade 2 - Day 4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D2.1, D2.2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Finish a lunch</x:v>
      </x:c>
      <x:c r="C6" s="3" t="str">
        <x:v>D2.2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Your own toothbrush</x:v>
      </x:c>
      <x:c r="C7" s="3" t="str">
        <x:v>D2.4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Look after your teeth</x:v>
      </x:c>
      <x:c r="C8" s="3" t="str">
        <x:v>D2.4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Keep a clear path</x:v>
      </x:c>
      <x:c r="C9" s="3" t="str">
        <x:v>D1.1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Check food allergies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Stop when asked</x:v>
      </x:c>
      <x:c r="C11" s="3" t="str">
        <x:v>D2.3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change of plans</x:v>
      </x:c>
      <x:c r="C12" s="3" t="str">
        <x:v>D1.6, D2.5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Ask about a family food</x:v>
      </x:c>
      <x:c r="C13" s="3" t="str">
        <x:v>D3.1, D2.2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An online photo</x:v>
      </x:c>
      <x:c r="C14" s="3" t="str">
        <x:v>D1.1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02a9d5f134414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Excite Grade 2 - Day 5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D2.1, D2.2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Finish a lunch</x:v>
      </x:c>
      <x:c r="C6" s="3" t="str">
        <x:v>D2.2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Teeth need care</x:v>
      </x:c>
      <x:c r="C7" s="3" t="str">
        <x:v>D2.4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Choose water</x:v>
      </x:c>
      <x:c r="C8" s="3" t="str">
        <x:v>D2.4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Use a helmet</x:v>
      </x:c>
      <x:c r="C9" s="3" t="str">
        <x:v>D1.1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Check food allergies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Ask before a photo</x:v>
      </x:c>
      <x:c r="C11" s="3" t="str">
        <x:v>D2.3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friend needs support</x:v>
      </x:c>
      <x:c r="C12" s="3" t="str">
        <x:v>D1.6, D2.5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Plan foods together</x:v>
      </x:c>
      <x:c r="C13" s="3" t="str">
        <x:v>D3.1, D2.2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Keep passwords private</x:v>
      </x:c>
      <x:c r="C14" s="3" t="str">
        <x:v>D1.1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bafab11bc54f8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Inspire Grade 3 - Day 1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D1.1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What happened to these foods?</x:v>
      </x:c>
      <x:c r="C6" s="3" t="str">
        <x:v>D1.1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Brush morning and night</x:v>
      </x:c>
      <x:c r="C7" s="3" t="str">
        <x:v>D2.1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Water with a snack</x:v>
      </x:c>
      <x:c r="C8" s="3" t="str">
        <x:v>D2.1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Cut a snack safely</x:v>
      </x:c>
      <x:c r="C9" s="3" t="str">
        <x:v>D2.2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After a head bump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Listen to “no”</x:v>
      </x:c>
      <x:c r="C11" s="3" t="str">
        <x:v>D1.4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worried tummy</x:v>
      </x:c>
      <x:c r="C12" s="3" t="str">
        <x:v>D1.6, D3.4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Different lunches</x:v>
      </x:c>
      <x:c r="C13" s="3" t="str">
        <x:v>D3.1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Check before clicking</x:v>
      </x:c>
      <x:c r="C14" s="3" t="str">
        <x:v>D2.2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823a573772421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Inspire Grade 3 - Day 2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D1.1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What happened to these foods?</x:v>
      </x:c>
      <x:c r="C6" s="3" t="str">
        <x:v>D1.1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Make a brushing reminder</x:v>
      </x:c>
      <x:c r="C7" s="3" t="str">
        <x:v>D2.1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Drink with lunch</x:v>
      </x:c>
      <x:c r="C8" s="3" t="str">
        <x:v>D2.1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Cross with a grown-up</x:v>
      </x:c>
      <x:c r="C9" s="3" t="str">
        <x:v>D2.2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After a head bump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Ask before borrowing</x:v>
      </x:c>
      <x:c r="C11" s="3" t="str">
        <x:v>D1.4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loud room</x:v>
      </x:c>
      <x:c r="C12" s="3" t="str">
        <x:v>D1.6, D3.4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Try or say no</x:v>
      </x:c>
      <x:c r="C13" s="3" t="str">
        <x:v>D3.1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An upsetting message</x:v>
      </x:c>
      <x:c r="C14" s="3" t="str">
        <x:v>D2.2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5eea222e24b8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Inspire Grade 3 - Day 3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D1.1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What happened to these foods?</x:v>
      </x:c>
      <x:c r="C6" s="3" t="str">
        <x:v>D1.1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Clean every side</x:v>
      </x:c>
      <x:c r="C7" s="3" t="str">
        <x:v>D2.1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Pack a water bottle</x:v>
      </x:c>
      <x:c r="C8" s="3" t="str">
        <x:v>D2.1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Stay with your group</x:v>
      </x:c>
      <x:c r="C9" s="3" t="str">
        <x:v>D2.2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After a head bump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Choose a game together</x:v>
      </x:c>
      <x:c r="C11" s="3" t="str">
        <x:v>D1.4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tricky task</x:v>
      </x:c>
      <x:c r="C12" s="3" t="str">
        <x:v>D1.6, D3.4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Food from our community</x:v>
      </x:c>
      <x:c r="C13" s="3" t="str">
        <x:v>D3.1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Before a download</x:v>
      </x:c>
      <x:c r="C14" s="3" t="str">
        <x:v>D2.2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c2cf5454d54f8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Inspire Grade 3 - Day 4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D1.1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What happened to these foods?</x:v>
      </x:c>
      <x:c r="C6" s="3" t="str">
        <x:v>D1.1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Your own toothbrush</x:v>
      </x:c>
      <x:c r="C7" s="3" t="str">
        <x:v>D2.1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Look after your teeth</x:v>
      </x:c>
      <x:c r="C8" s="3" t="str">
        <x:v>D2.1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Keep a clear path</x:v>
      </x:c>
      <x:c r="C9" s="3" t="str">
        <x:v>D2.2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After a head bump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Stop when asked</x:v>
      </x:c>
      <x:c r="C11" s="3" t="str">
        <x:v>D1.4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change of plans</x:v>
      </x:c>
      <x:c r="C12" s="3" t="str">
        <x:v>D1.6, D3.4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Ask about a family food</x:v>
      </x:c>
      <x:c r="C13" s="3" t="str">
        <x:v>D3.1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An online photo</x:v>
      </x:c>
      <x:c r="C14" s="3" t="str">
        <x:v>D2.2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2dedfba39c438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43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15" hidden="0" customWidth="1"/>
    <x:col min="8" max="8" width="16" hidden="0" customWidth="1"/>
    <x:col min="9" max="9" width="70" hidden="0" customWidth="1"/>
  </x:cols>
  <x:sheetData>
    <x:row r="1" ht="36" customHeight="1">
      <x:c r="A1" s="5" t="str">
        <x:v>Health Centre 1 - Inspire Grade 3 - Day 5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6" t="str">
        <x:v>10 Health questions. Assess this day independently.</x:v>
      </x:c>
      <x:c r="B2" s="6"/>
      <x:c r="C2" s="6"/>
      <x:c r="D2" s="6"/>
      <x:c r="E2" s="6"/>
      <x:c r="F2" s="6"/>
      <x:c r="G2" s="6"/>
      <x:c r="H2" s="6"/>
      <x:c r="I2" s="6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Q</x:v>
      </x:c>
      <x:c r="B4" s="10" t="str">
        <x:v>Health activity</x:v>
      </x:c>
      <x:c r="C4" s="10" t="str">
        <x:v>Health expectations</x:v>
      </x:c>
      <x:c r="D4" s="10" t="str">
        <x:v>Level</x:v>
      </x:c>
      <x:c r="E4" s="10" t="str">
        <x:v>Support</x:v>
      </x:c>
      <x:c r="F4" s="10" t="str">
        <x:v>Assessment type</x:v>
      </x:c>
      <x:c r="G4" s="10" t="str">
        <x:v>Date</x:v>
      </x:c>
      <x:c r="H4" s="10" t="str">
        <x:v>Finished</x:v>
      </x:c>
      <x:c r="I4" s="10" t="str">
        <x:v>Evidence / next step</x:v>
      </x:c>
    </x:row>
    <x:row r="5" ht="88" customHeight="1">
      <x:c r="A5" s="3" t="n">
        <x:v>1</x:v>
      </x:c>
      <x:c r="B5" s="3" t="str">
        <x:v>Make a lunch plate</x:v>
      </x:c>
      <x:c r="C5" s="3" t="str">
        <x:v>D1.1</x:v>
      </x:c>
      <x:c r="D5" s="12"/>
      <x:c r="E5" s="7"/>
      <x:c r="F5" s="7"/>
      <x:c r="G5" s="11"/>
      <x:c r="H5" s="7"/>
      <x:c r="I5" s="7"/>
    </x:row>
    <x:row r="6" ht="88" customHeight="1">
      <x:c r="A6" s="3" t="n">
        <x:v>2</x:v>
      </x:c>
      <x:c r="B6" s="3" t="str">
        <x:v>What happened to these foods?</x:v>
      </x:c>
      <x:c r="C6" s="3" t="str">
        <x:v>D1.1</x:v>
      </x:c>
      <x:c r="D6" s="12"/>
      <x:c r="E6" s="7"/>
      <x:c r="F6" s="7"/>
      <x:c r="G6" s="11"/>
      <x:c r="H6" s="7"/>
      <x:c r="I6" s="7"/>
    </x:row>
    <x:row r="7" ht="88" customHeight="1">
      <x:c r="A7" s="3" t="n">
        <x:v>3</x:v>
      </x:c>
      <x:c r="B7" s="3" t="str">
        <x:v>Teeth need care</x:v>
      </x:c>
      <x:c r="C7" s="3" t="str">
        <x:v>D2.1</x:v>
      </x:c>
      <x:c r="D7" s="12"/>
      <x:c r="E7" s="7"/>
      <x:c r="F7" s="7"/>
      <x:c r="G7" s="11"/>
      <x:c r="H7" s="7"/>
      <x:c r="I7" s="7"/>
    </x:row>
    <x:row r="8" ht="88" customHeight="1">
      <x:c r="A8" s="3" t="n">
        <x:v>4</x:v>
      </x:c>
      <x:c r="B8" s="3" t="str">
        <x:v>Choose water</x:v>
      </x:c>
      <x:c r="C8" s="3" t="str">
        <x:v>D2.1</x:v>
      </x:c>
      <x:c r="D8" s="12"/>
      <x:c r="E8" s="7"/>
      <x:c r="F8" s="7"/>
      <x:c r="G8" s="11"/>
      <x:c r="H8" s="7"/>
      <x:c r="I8" s="7"/>
    </x:row>
    <x:row r="9" ht="88" customHeight="1">
      <x:c r="A9" s="3" t="n">
        <x:v>5</x:v>
      </x:c>
      <x:c r="B9" s="3" t="str">
        <x:v>Use a helmet</x:v>
      </x:c>
      <x:c r="C9" s="3" t="str">
        <x:v>D2.2</x:v>
      </x:c>
      <x:c r="D9" s="12"/>
      <x:c r="E9" s="7"/>
      <x:c r="F9" s="7"/>
      <x:c r="G9" s="11"/>
      <x:c r="H9" s="7"/>
      <x:c r="I9" s="7"/>
    </x:row>
    <x:row r="10" ht="88" customHeight="1">
      <x:c r="A10" s="3" t="n">
        <x:v>6</x:v>
      </x:c>
      <x:c r="B10" s="3" t="str">
        <x:v>After a head bump</x:v>
      </x:c>
      <x:c r="C10" s="3" t="str">
        <x:v>D1.2</x:v>
      </x:c>
      <x:c r="D10" s="12"/>
      <x:c r="E10" s="7"/>
      <x:c r="F10" s="7"/>
      <x:c r="G10" s="11"/>
      <x:c r="H10" s="7"/>
      <x:c r="I10" s="7"/>
    </x:row>
    <x:row r="11" ht="88" customHeight="1">
      <x:c r="A11" s="3" t="n">
        <x:v>7</x:v>
      </x:c>
      <x:c r="B11" s="3" t="str">
        <x:v>Ask before a photo</x:v>
      </x:c>
      <x:c r="C11" s="3" t="str">
        <x:v>D1.4</x:v>
      </x:c>
      <x:c r="D11" s="12"/>
      <x:c r="E11" s="7"/>
      <x:c r="F11" s="7"/>
      <x:c r="G11" s="11"/>
      <x:c r="H11" s="7"/>
      <x:c r="I11" s="7"/>
    </x:row>
    <x:row r="12" ht="88" customHeight="1">
      <x:c r="A12" s="3" t="n">
        <x:v>8</x:v>
      </x:c>
      <x:c r="B12" s="3" t="str">
        <x:v>A friend needs support</x:v>
      </x:c>
      <x:c r="C12" s="3" t="str">
        <x:v>D1.6, D3.4</x:v>
      </x:c>
      <x:c r="D12" s="12"/>
      <x:c r="E12" s="7"/>
      <x:c r="F12" s="7"/>
      <x:c r="G12" s="11"/>
      <x:c r="H12" s="7"/>
      <x:c r="I12" s="7"/>
    </x:row>
    <x:row r="13" ht="88" customHeight="1">
      <x:c r="A13" s="3" t="n">
        <x:v>9</x:v>
      </x:c>
      <x:c r="B13" s="3" t="str">
        <x:v>Plan foods together</x:v>
      </x:c>
      <x:c r="C13" s="3" t="str">
        <x:v>D3.1</x:v>
      </x:c>
      <x:c r="D13" s="12"/>
      <x:c r="E13" s="7"/>
      <x:c r="F13" s="7"/>
      <x:c r="G13" s="11"/>
      <x:c r="H13" s="7"/>
      <x:c r="I13" s="7"/>
    </x:row>
    <x:row r="14" ht="88" customHeight="1">
      <x:c r="A14" s="3" t="n">
        <x:v>10</x:v>
      </x:c>
      <x:c r="B14" s="3" t="str">
        <x:v>Keep passwords private</x:v>
      </x:c>
      <x:c r="C14" s="3" t="str">
        <x:v>D2.2</x:v>
      </x:c>
      <x:c r="D14" s="12"/>
      <x:c r="E14" s="7"/>
      <x:c r="F14" s="7"/>
      <x:c r="G14" s="11"/>
      <x:c r="H14" s="7"/>
      <x:c r="I14" s="7"/>
    </x:row>
  </x:sheetData>
  <x:dataValidations count="4">
    <x:dataValidation type="list" sqref="D5:D14">
      <x:formula1>"N,1,2,3,4"</x:formula1>
    </x:dataValidation>
    <x:dataValidation type="list" sqref="E5:E14">
      <x:formula1>"Independent,Prompt,Model,Read aloud,Access support"</x:formula1>
    </x:dataValidation>
    <x:dataValidation type="list" sqref="F5:F14">
      <x:formula1>"Formative,Summative"</x:formula1>
    </x:dataValidation>
    <x:dataValidation type="list" sqref="H5:H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3289043a3a466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" hidden="0" customWidth="1"/>
    <x:col min="3" max="3" width="23" hidden="0" customWidth="1"/>
    <x:col min="4" max="4" width="19" hidden="0" customWidth="1"/>
    <x:col min="5" max="5" width="18" hidden="0" customWidth="1"/>
    <x:col min="6" max="6" width="15" hidden="0" customWidth="1"/>
    <x:col min="7" max="7" width="15" hidden="0" customWidth="1"/>
    <x:col min="8" max="8" width="21" hidden="0" customWidth="1"/>
  </x:cols>
  <x:sheetData>
    <x:row r="1" ht="36" customHeight="1">
      <x:c r="A1" s="5" t="str">
        <x:v>Health Centre 1 - daily summary</x:v>
      </x:c>
      <x:c r="B1" s="6"/>
      <x:c r="C1" s="6"/>
      <x:c r="D1" s="6"/>
      <x:c r="E1" s="6"/>
      <x:c r="F1" s="6"/>
      <x:c r="G1" s="6"/>
      <x:c r="H1" s="6"/>
    </x:row>
    <x:row r="2" ht="36" customHeight="1">
      <x:c r="A2" s="6" t="str">
        <x:v>Each grade and day is independent. Blank levels and N are excluded.</x:v>
      </x:c>
      <x:c r="B2" s="6"/>
      <x:c r="C2" s="6"/>
      <x:c r="D2" s="6"/>
      <x:c r="E2" s="6"/>
      <x:c r="F2" s="6"/>
      <x:c r="G2" s="6"/>
      <x:c r="H2" s="6"/>
    </x:row>
    <x:row r="3" ht="70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Grade set</x:v>
      </x:c>
      <x:c r="B4" s="10" t="str">
        <x:v>Day</x:v>
      </x:c>
      <x:c r="C4" s="10" t="str">
        <x:v>Area</x:v>
      </x:c>
      <x:c r="D4" s="10" t="str">
        <x:v>Observed tasks</x:v>
      </x:c>
      <x:c r="E4" s="10" t="str">
        <x:v>Mean level</x:v>
      </x:c>
      <x:c r="F4" s="10" t="str">
        <x:v>Level 3</x:v>
      </x:c>
      <x:c r="G4" s="10" t="str">
        <x:v>Level 4</x:v>
      </x:c>
      <x:c r="H4" s="10" t="str">
        <x:v>Marked finished</x:v>
      </x:c>
    </x:row>
    <x:row r="5" ht="70" customHeight="1">
      <x:c r="A5" s="3" t="str">
        <x:v>Excite Grade 2</x:v>
      </x:c>
      <x:c r="B5" s="3" t="n">
        <x:v>1</x:v>
      </x:c>
      <x:c r="C5" s="3" t="str">
        <x:v>Health</x:v>
      </x:c>
      <x:c r="D5" s="3" t="n">
        <x:f>(COUNTIF('Excite Day 1'!D5,1)+COUNTIF('Excite Day 1'!D6,1)+COUNTIF('Excite Day 1'!D7,1)+COUNTIF('Excite Day 1'!D8,1)+COUNTIF('Excite Day 1'!D9,1)+COUNTIF('Excite Day 1'!D10,1)+COUNTIF('Excite Day 1'!D11,1)+COUNTIF('Excite Day 1'!D12,1)+COUNTIF('Excite Day 1'!D13,1)+COUNTIF('Excite Day 1'!D14,1))+(COUNTIF('Excite Day 1'!D5,2)+COUNTIF('Excite Day 1'!D6,2)+COUNTIF('Excite Day 1'!D7,2)+COUNTIF('Excite Day 1'!D8,2)+COUNTIF('Excite Day 1'!D9,2)+COUNTIF('Excite Day 1'!D10,2)+COUNTIF('Excite Day 1'!D11,2)+COUNTIF('Excite Day 1'!D12,2)+COUNTIF('Excite Day 1'!D13,2)+COUNTIF('Excite Day 1'!D14,2))+(COUNTIF('Excite Day 1'!D5,3)+COUNTIF('Excite Day 1'!D6,3)+COUNTIF('Excite Day 1'!D7,3)+COUNTIF('Excite Day 1'!D8,3)+COUNTIF('Excite Day 1'!D9,3)+COUNTIF('Excite Day 1'!D10,3)+COUNTIF('Excite Day 1'!D11,3)+COUNTIF('Excite Day 1'!D12,3)+COUNTIF('Excite Day 1'!D13,3)+COUNTIF('Excite Day 1'!D14,3))+(COUNTIF('Excite Day 1'!D5,4)+COUNTIF('Excite Day 1'!D6,4)+COUNTIF('Excite Day 1'!D7,4)+COUNTIF('Excite Day 1'!D8,4)+COUNTIF('Excite Day 1'!D9,4)+COUNTIF('Excite Day 1'!D10,4)+COUNTIF('Excite Day 1'!D11,4)+COUNTIF('Excite Day 1'!D12,4)+COUNTIF('Excite Day 1'!D13,4)+COUNTIF('Excite Day 1'!D14,4))</x:f>
        <x:v>0</x:v>
      </x:c>
      <x:c r="E5" s="13" t="str">
        <x:f>IF(D5=0,"",(1*(COUNTIF('Excite Day 1'!D5,1)+COUNTIF('Excite Day 1'!D6,1)+COUNTIF('Excite Day 1'!D7,1)+COUNTIF('Excite Day 1'!D8,1)+COUNTIF('Excite Day 1'!D9,1)+COUNTIF('Excite Day 1'!D10,1)+COUNTIF('Excite Day 1'!D11,1)+COUNTIF('Excite Day 1'!D12,1)+COUNTIF('Excite Day 1'!D13,1)+COUNTIF('Excite Day 1'!D14,1))+2*(COUNTIF('Excite Day 1'!D5,2)+COUNTIF('Excite Day 1'!D6,2)+COUNTIF('Excite Day 1'!D7,2)+COUNTIF('Excite Day 1'!D8,2)+COUNTIF('Excite Day 1'!D9,2)+COUNTIF('Excite Day 1'!D10,2)+COUNTIF('Excite Day 1'!D11,2)+COUNTIF('Excite Day 1'!D12,2)+COUNTIF('Excite Day 1'!D13,2)+COUNTIF('Excite Day 1'!D14,2))+3*(COUNTIF('Excite Day 1'!D5,3)+COUNTIF('Excite Day 1'!D6,3)+COUNTIF('Excite Day 1'!D7,3)+COUNTIF('Excite Day 1'!D8,3)+COUNTIF('Excite Day 1'!D9,3)+COUNTIF('Excite Day 1'!D10,3)+COUNTIF('Excite Day 1'!D11,3)+COUNTIF('Excite Day 1'!D12,3)+COUNTIF('Excite Day 1'!D13,3)+COUNTIF('Excite Day 1'!D14,3))+4*(COUNTIF('Excite Day 1'!D5,4)+COUNTIF('Excite Day 1'!D6,4)+COUNTIF('Excite Day 1'!D7,4)+COUNTIF('Excite Day 1'!D8,4)+COUNTIF('Excite Day 1'!D9,4)+COUNTIF('Excite Day 1'!D10,4)+COUNTIF('Excite Day 1'!D11,4)+COUNTIF('Excite Day 1'!D12,4)+COUNTIF('Excite Day 1'!D13,4)+COUNTIF('Excite Day 1'!D14,4)))/D5)</x:f>
      </x:c>
      <x:c r="F5" s="3" t="n">
        <x:f>(COUNTIF('Excite Day 1'!D5,3)+COUNTIF('Excite Day 1'!D6,3)+COUNTIF('Excite Day 1'!D7,3)+COUNTIF('Excite Day 1'!D8,3)+COUNTIF('Excite Day 1'!D9,3)+COUNTIF('Excite Day 1'!D10,3)+COUNTIF('Excite Day 1'!D11,3)+COUNTIF('Excite Day 1'!D12,3)+COUNTIF('Excite Day 1'!D13,3)+COUNTIF('Excite Day 1'!D14,3))</x:f>
        <x:v>0</x:v>
      </x:c>
      <x:c r="G5" s="3" t="n">
        <x:f>(COUNTIF('Excite Day 1'!D5,4)+COUNTIF('Excite Day 1'!D6,4)+COUNTIF('Excite Day 1'!D7,4)+COUNTIF('Excite Day 1'!D8,4)+COUNTIF('Excite Day 1'!D9,4)+COUNTIF('Excite Day 1'!D10,4)+COUNTIF('Excite Day 1'!D11,4)+COUNTIF('Excite Day 1'!D12,4)+COUNTIF('Excite Day 1'!D13,4)+COUNTIF('Excite Day 1'!D14,4))</x:f>
        <x:v>0</x:v>
      </x:c>
      <x:c r="H5" s="3" t="n">
        <x:f>(COUNTIF('Excite Day 1'!H5,"Yes")+COUNTIF('Excite Day 1'!H6,"Yes")+COUNTIF('Excite Day 1'!H7,"Yes")+COUNTIF('Excite Day 1'!H8,"Yes")+COUNTIF('Excite Day 1'!H9,"Yes")+COUNTIF('Excite Day 1'!H10,"Yes")+COUNTIF('Excite Day 1'!H11,"Yes")+COUNTIF('Excite Day 1'!H12,"Yes")+COUNTIF('Excite Day 1'!H13,"Yes")+COUNTIF('Excite Day 1'!H14,"Yes"))</x:f>
        <x:v>0</x:v>
      </x:c>
    </x:row>
    <x:row r="6" ht="70" customHeight="1">
      <x:c r="A6" s="3" t="str">
        <x:v>Excite Grade 2</x:v>
      </x:c>
      <x:c r="B6" s="3" t="n">
        <x:v>1</x:v>
      </x:c>
      <x:c r="C6" s="3" t="str">
        <x:v>Oral health</x:v>
      </x:c>
      <x:c r="D6" s="3" t="n">
        <x:f>(COUNTIF('Excite Day 1'!D7,1)+COUNTIF('Excite Day 1'!D8,1))+(COUNTIF('Excite Day 1'!D7,2)+COUNTIF('Excite Day 1'!D8,2))+(COUNTIF('Excite Day 1'!D7,3)+COUNTIF('Excite Day 1'!D8,3))+(COUNTIF('Excite Day 1'!D7,4)+COUNTIF('Excite Day 1'!D8,4))</x:f>
        <x:v>0</x:v>
      </x:c>
      <x:c r="E6" s="13" t="str">
        <x:f>IF(D6=0,"",(1*(COUNTIF('Excite Day 1'!D7,1)+COUNTIF('Excite Day 1'!D8,1))+2*(COUNTIF('Excite Day 1'!D7,2)+COUNTIF('Excite Day 1'!D8,2))+3*(COUNTIF('Excite Day 1'!D7,3)+COUNTIF('Excite Day 1'!D8,3))+4*(COUNTIF('Excite Day 1'!D7,4)+COUNTIF('Excite Day 1'!D8,4)))/D6)</x:f>
      </x:c>
      <x:c r="F6" s="3" t="n">
        <x:f>(COUNTIF('Excite Day 1'!D7,3)+COUNTIF('Excite Day 1'!D8,3))</x:f>
        <x:v>0</x:v>
      </x:c>
      <x:c r="G6" s="3" t="n">
        <x:f>(COUNTIF('Excite Day 1'!D7,4)+COUNTIF('Excite Day 1'!D8,4))</x:f>
        <x:v>0</x:v>
      </x:c>
      <x:c r="H6" s="3" t="n">
        <x:f>(COUNTIF('Excite Day 1'!H7,"Yes")+COUNTIF('Excite Day 1'!H8,"Yes"))</x:f>
        <x:v>0</x:v>
      </x:c>
    </x:row>
    <x:row r="7" ht="70" customHeight="1">
      <x:c r="A7" s="3" t="str">
        <x:v>Excite Grade 2</x:v>
      </x:c>
      <x:c r="B7" s="3" t="n">
        <x:v>1</x:v>
      </x:c>
      <x:c r="C7" s="3" t="str">
        <x:v>Personal safety</x:v>
      </x:c>
      <x:c r="D7" s="3" t="n">
        <x:f>(COUNTIF('Excite Day 1'!D9,1)+COUNTIF('Excite Day 1'!D10,1)+COUNTIF('Excite Day 1'!D11,1)+COUNTIF('Excite Day 1'!D14,1))+(COUNTIF('Excite Day 1'!D9,2)+COUNTIF('Excite Day 1'!D10,2)+COUNTIF('Excite Day 1'!D11,2)+COUNTIF('Excite Day 1'!D14,2))+(COUNTIF('Excite Day 1'!D9,3)+COUNTIF('Excite Day 1'!D10,3)+COUNTIF('Excite Day 1'!D11,3)+COUNTIF('Excite Day 1'!D14,3))+(COUNTIF('Excite Day 1'!D9,4)+COUNTIF('Excite Day 1'!D10,4)+COUNTIF('Excite Day 1'!D11,4)+COUNTIF('Excite Day 1'!D14,4))</x:f>
        <x:v>0</x:v>
      </x:c>
      <x:c r="E7" s="13" t="str">
        <x:f>IF(D7=0,"",(1*(COUNTIF('Excite Day 1'!D9,1)+COUNTIF('Excite Day 1'!D10,1)+COUNTIF('Excite Day 1'!D11,1)+COUNTIF('Excite Day 1'!D14,1))+2*(COUNTIF('Excite Day 1'!D9,2)+COUNTIF('Excite Day 1'!D10,2)+COUNTIF('Excite Day 1'!D11,2)+COUNTIF('Excite Day 1'!D14,2))+3*(COUNTIF('Excite Day 1'!D9,3)+COUNTIF('Excite Day 1'!D10,3)+COUNTIF('Excite Day 1'!D11,3)+COUNTIF('Excite Day 1'!D14,3))+4*(COUNTIF('Excite Day 1'!D9,4)+COUNTIF('Excite Day 1'!D10,4)+COUNTIF('Excite Day 1'!D11,4)+COUNTIF('Excite Day 1'!D14,4)))/D7)</x:f>
      </x:c>
      <x:c r="F7" s="3" t="n">
        <x:f>(COUNTIF('Excite Day 1'!D9,3)+COUNTIF('Excite Day 1'!D10,3)+COUNTIF('Excite Day 1'!D11,3)+COUNTIF('Excite Day 1'!D14,3))</x:f>
        <x:v>0</x:v>
      </x:c>
      <x:c r="G7" s="3" t="n">
        <x:f>(COUNTIF('Excite Day 1'!D9,4)+COUNTIF('Excite Day 1'!D10,4)+COUNTIF('Excite Day 1'!D11,4)+COUNTIF('Excite Day 1'!D14,4))</x:f>
        <x:v>0</x:v>
      </x:c>
      <x:c r="H7" s="3" t="n">
        <x:f>(COUNTIF('Excite Day 1'!H9,"Yes")+COUNTIF('Excite Day 1'!H10,"Yes")+COUNTIF('Excite Day 1'!H11,"Yes")+COUNTIF('Excite Day 1'!H14,"Yes"))</x:f>
        <x:v>0</x:v>
      </x:c>
    </x:row>
    <x:row r="8" ht="70" customHeight="1">
      <x:c r="A8" s="3" t="str">
        <x:v>Excite Grade 2</x:v>
      </x:c>
      <x:c r="B8" s="3" t="n">
        <x:v>2</x:v>
      </x:c>
      <x:c r="C8" s="3" t="str">
        <x:v>Health</x:v>
      </x:c>
      <x:c r="D8" s="3" t="n">
        <x:f>(COUNTIF('Excite Day 2'!D5,1)+COUNTIF('Excite Day 2'!D6,1)+COUNTIF('Excite Day 2'!D7,1)+COUNTIF('Excite Day 2'!D8,1)+COUNTIF('Excite Day 2'!D9,1)+COUNTIF('Excite Day 2'!D10,1)+COUNTIF('Excite Day 2'!D11,1)+COUNTIF('Excite Day 2'!D12,1)+COUNTIF('Excite Day 2'!D13,1)+COUNTIF('Excite Day 2'!D14,1))+(COUNTIF('Excite Day 2'!D5,2)+COUNTIF('Excite Day 2'!D6,2)+COUNTIF('Excite Day 2'!D7,2)+COUNTIF('Excite Day 2'!D8,2)+COUNTIF('Excite Day 2'!D9,2)+COUNTIF('Excite Day 2'!D10,2)+COUNTIF('Excite Day 2'!D11,2)+COUNTIF('Excite Day 2'!D12,2)+COUNTIF('Excite Day 2'!D13,2)+COUNTIF('Excite Day 2'!D14,2))+(COUNTIF('Excite Day 2'!D5,3)+COUNTIF('Excite Day 2'!D6,3)+COUNTIF('Excite Day 2'!D7,3)+COUNTIF('Excite Day 2'!D8,3)+COUNTIF('Excite Day 2'!D9,3)+COUNTIF('Excite Day 2'!D10,3)+COUNTIF('Excite Day 2'!D11,3)+COUNTIF('Excite Day 2'!D12,3)+COUNTIF('Excite Day 2'!D13,3)+COUNTIF('Excite Day 2'!D14,3))+(COUNTIF('Excite Day 2'!D5,4)+COUNTIF('Excite Day 2'!D6,4)+COUNTIF('Excite Day 2'!D7,4)+COUNTIF('Excite Day 2'!D8,4)+COUNTIF('Excite Day 2'!D9,4)+COUNTIF('Excite Day 2'!D10,4)+COUNTIF('Excite Day 2'!D11,4)+COUNTIF('Excite Day 2'!D12,4)+COUNTIF('Excite Day 2'!D13,4)+COUNTIF('Excite Day 2'!D14,4))</x:f>
        <x:v>0</x:v>
      </x:c>
      <x:c r="E8" s="13" t="str">
        <x:f>IF(D8=0,"",(1*(COUNTIF('Excite Day 2'!D5,1)+COUNTIF('Excite Day 2'!D6,1)+COUNTIF('Excite Day 2'!D7,1)+COUNTIF('Excite Day 2'!D8,1)+COUNTIF('Excite Day 2'!D9,1)+COUNTIF('Excite Day 2'!D10,1)+COUNTIF('Excite Day 2'!D11,1)+COUNTIF('Excite Day 2'!D12,1)+COUNTIF('Excite Day 2'!D13,1)+COUNTIF('Excite Day 2'!D14,1))+2*(COUNTIF('Excite Day 2'!D5,2)+COUNTIF('Excite Day 2'!D6,2)+COUNTIF('Excite Day 2'!D7,2)+COUNTIF('Excite Day 2'!D8,2)+COUNTIF('Excite Day 2'!D9,2)+COUNTIF('Excite Day 2'!D10,2)+COUNTIF('Excite Day 2'!D11,2)+COUNTIF('Excite Day 2'!D12,2)+COUNTIF('Excite Day 2'!D13,2)+COUNTIF('Excite Day 2'!D14,2))+3*(COUNTIF('Excite Day 2'!D5,3)+COUNTIF('Excite Day 2'!D6,3)+COUNTIF('Excite Day 2'!D7,3)+COUNTIF('Excite Day 2'!D8,3)+COUNTIF('Excite Day 2'!D9,3)+COUNTIF('Excite Day 2'!D10,3)+COUNTIF('Excite Day 2'!D11,3)+COUNTIF('Excite Day 2'!D12,3)+COUNTIF('Excite Day 2'!D13,3)+COUNTIF('Excite Day 2'!D14,3))+4*(COUNTIF('Excite Day 2'!D5,4)+COUNTIF('Excite Day 2'!D6,4)+COUNTIF('Excite Day 2'!D7,4)+COUNTIF('Excite Day 2'!D8,4)+COUNTIF('Excite Day 2'!D9,4)+COUNTIF('Excite Day 2'!D10,4)+COUNTIF('Excite Day 2'!D11,4)+COUNTIF('Excite Day 2'!D12,4)+COUNTIF('Excite Day 2'!D13,4)+COUNTIF('Excite Day 2'!D14,4)))/D8)</x:f>
      </x:c>
      <x:c r="F8" s="3" t="n">
        <x:f>(COUNTIF('Excite Day 2'!D5,3)+COUNTIF('Excite Day 2'!D6,3)+COUNTIF('Excite Day 2'!D7,3)+COUNTIF('Excite Day 2'!D8,3)+COUNTIF('Excite Day 2'!D9,3)+COUNTIF('Excite Day 2'!D10,3)+COUNTIF('Excite Day 2'!D11,3)+COUNTIF('Excite Day 2'!D12,3)+COUNTIF('Excite Day 2'!D13,3)+COUNTIF('Excite Day 2'!D14,3))</x:f>
        <x:v>0</x:v>
      </x:c>
      <x:c r="G8" s="3" t="n">
        <x:f>(COUNTIF('Excite Day 2'!D5,4)+COUNTIF('Excite Day 2'!D6,4)+COUNTIF('Excite Day 2'!D7,4)+COUNTIF('Excite Day 2'!D8,4)+COUNTIF('Excite Day 2'!D9,4)+COUNTIF('Excite Day 2'!D10,4)+COUNTIF('Excite Day 2'!D11,4)+COUNTIF('Excite Day 2'!D12,4)+COUNTIF('Excite Day 2'!D13,4)+COUNTIF('Excite Day 2'!D14,4))</x:f>
        <x:v>0</x:v>
      </x:c>
      <x:c r="H8" s="3" t="n">
        <x:f>(COUNTIF('Excite Day 2'!H5,"Yes")+COUNTIF('Excite Day 2'!H6,"Yes")+COUNTIF('Excite Day 2'!H7,"Yes")+COUNTIF('Excite Day 2'!H8,"Yes")+COUNTIF('Excite Day 2'!H9,"Yes")+COUNTIF('Excite Day 2'!H10,"Yes")+COUNTIF('Excite Day 2'!H11,"Yes")+COUNTIF('Excite Day 2'!H12,"Yes")+COUNTIF('Excite Day 2'!H13,"Yes")+COUNTIF('Excite Day 2'!H14,"Yes"))</x:f>
        <x:v>0</x:v>
      </x:c>
    </x:row>
    <x:row r="9" ht="70" customHeight="1">
      <x:c r="A9" s="3" t="str">
        <x:v>Excite Grade 2</x:v>
      </x:c>
      <x:c r="B9" s="3" t="n">
        <x:v>2</x:v>
      </x:c>
      <x:c r="C9" s="3" t="str">
        <x:v>Oral health</x:v>
      </x:c>
      <x:c r="D9" s="3" t="n">
        <x:f>(COUNTIF('Excite Day 2'!D7,1)+COUNTIF('Excite Day 2'!D8,1))+(COUNTIF('Excite Day 2'!D7,2)+COUNTIF('Excite Day 2'!D8,2))+(COUNTIF('Excite Day 2'!D7,3)+COUNTIF('Excite Day 2'!D8,3))+(COUNTIF('Excite Day 2'!D7,4)+COUNTIF('Excite Day 2'!D8,4))</x:f>
        <x:v>0</x:v>
      </x:c>
      <x:c r="E9" s="13" t="str">
        <x:f>IF(D9=0,"",(1*(COUNTIF('Excite Day 2'!D7,1)+COUNTIF('Excite Day 2'!D8,1))+2*(COUNTIF('Excite Day 2'!D7,2)+COUNTIF('Excite Day 2'!D8,2))+3*(COUNTIF('Excite Day 2'!D7,3)+COUNTIF('Excite Day 2'!D8,3))+4*(COUNTIF('Excite Day 2'!D7,4)+COUNTIF('Excite Day 2'!D8,4)))/D9)</x:f>
      </x:c>
      <x:c r="F9" s="3" t="n">
        <x:f>(COUNTIF('Excite Day 2'!D7,3)+COUNTIF('Excite Day 2'!D8,3))</x:f>
        <x:v>0</x:v>
      </x:c>
      <x:c r="G9" s="3" t="n">
        <x:f>(COUNTIF('Excite Day 2'!D7,4)+COUNTIF('Excite Day 2'!D8,4))</x:f>
        <x:v>0</x:v>
      </x:c>
      <x:c r="H9" s="3" t="n">
        <x:f>(COUNTIF('Excite Day 2'!H7,"Yes")+COUNTIF('Excite Day 2'!H8,"Yes"))</x:f>
        <x:v>0</x:v>
      </x:c>
    </x:row>
    <x:row r="10" ht="70" customHeight="1">
      <x:c r="A10" s="3" t="str">
        <x:v>Excite Grade 2</x:v>
      </x:c>
      <x:c r="B10" s="3" t="n">
        <x:v>2</x:v>
      </x:c>
      <x:c r="C10" s="3" t="str">
        <x:v>Personal safety</x:v>
      </x:c>
      <x:c r="D10" s="3" t="n">
        <x:f>(COUNTIF('Excite Day 2'!D9,1)+COUNTIF('Excite Day 2'!D10,1)+COUNTIF('Excite Day 2'!D11,1)+COUNTIF('Excite Day 2'!D14,1))+(COUNTIF('Excite Day 2'!D9,2)+COUNTIF('Excite Day 2'!D10,2)+COUNTIF('Excite Day 2'!D11,2)+COUNTIF('Excite Day 2'!D14,2))+(COUNTIF('Excite Day 2'!D9,3)+COUNTIF('Excite Day 2'!D10,3)+COUNTIF('Excite Day 2'!D11,3)+COUNTIF('Excite Day 2'!D14,3))+(COUNTIF('Excite Day 2'!D9,4)+COUNTIF('Excite Day 2'!D10,4)+COUNTIF('Excite Day 2'!D11,4)+COUNTIF('Excite Day 2'!D14,4))</x:f>
        <x:v>0</x:v>
      </x:c>
      <x:c r="E10" s="13" t="str">
        <x:f>IF(D10=0,"",(1*(COUNTIF('Excite Day 2'!D9,1)+COUNTIF('Excite Day 2'!D10,1)+COUNTIF('Excite Day 2'!D11,1)+COUNTIF('Excite Day 2'!D14,1))+2*(COUNTIF('Excite Day 2'!D9,2)+COUNTIF('Excite Day 2'!D10,2)+COUNTIF('Excite Day 2'!D11,2)+COUNTIF('Excite Day 2'!D14,2))+3*(COUNTIF('Excite Day 2'!D9,3)+COUNTIF('Excite Day 2'!D10,3)+COUNTIF('Excite Day 2'!D11,3)+COUNTIF('Excite Day 2'!D14,3))+4*(COUNTIF('Excite Day 2'!D9,4)+COUNTIF('Excite Day 2'!D10,4)+COUNTIF('Excite Day 2'!D11,4)+COUNTIF('Excite Day 2'!D14,4)))/D10)</x:f>
      </x:c>
      <x:c r="F10" s="3" t="n">
        <x:f>(COUNTIF('Excite Day 2'!D9,3)+COUNTIF('Excite Day 2'!D10,3)+COUNTIF('Excite Day 2'!D11,3)+COUNTIF('Excite Day 2'!D14,3))</x:f>
        <x:v>0</x:v>
      </x:c>
      <x:c r="G10" s="3" t="n">
        <x:f>(COUNTIF('Excite Day 2'!D9,4)+COUNTIF('Excite Day 2'!D10,4)+COUNTIF('Excite Day 2'!D11,4)+COUNTIF('Excite Day 2'!D14,4))</x:f>
        <x:v>0</x:v>
      </x:c>
      <x:c r="H10" s="3" t="n">
        <x:f>(COUNTIF('Excite Day 2'!H9,"Yes")+COUNTIF('Excite Day 2'!H10,"Yes")+COUNTIF('Excite Day 2'!H11,"Yes")+COUNTIF('Excite Day 2'!H14,"Yes"))</x:f>
        <x:v>0</x:v>
      </x:c>
    </x:row>
    <x:row r="11" ht="70" customHeight="1">
      <x:c r="A11" s="3" t="str">
        <x:v>Excite Grade 2</x:v>
      </x:c>
      <x:c r="B11" s="3" t="n">
        <x:v>3</x:v>
      </x:c>
      <x:c r="C11" s="3" t="str">
        <x:v>Health</x:v>
      </x:c>
      <x:c r="D11" s="3" t="n">
        <x:f>(COUNTIF('Excite Day 3'!D5,1)+COUNTIF('Excite Day 3'!D6,1)+COUNTIF('Excite Day 3'!D7,1)+COUNTIF('Excite Day 3'!D8,1)+COUNTIF('Excite Day 3'!D9,1)+COUNTIF('Excite Day 3'!D10,1)+COUNTIF('Excite Day 3'!D11,1)+COUNTIF('Excite Day 3'!D12,1)+COUNTIF('Excite Day 3'!D13,1)+COUNTIF('Excite Day 3'!D14,1))+(COUNTIF('Excite Day 3'!D5,2)+COUNTIF('Excite Day 3'!D6,2)+COUNTIF('Excite Day 3'!D7,2)+COUNTIF('Excite Day 3'!D8,2)+COUNTIF('Excite Day 3'!D9,2)+COUNTIF('Excite Day 3'!D10,2)+COUNTIF('Excite Day 3'!D11,2)+COUNTIF('Excite Day 3'!D12,2)+COUNTIF('Excite Day 3'!D13,2)+COUNTIF('Excite Day 3'!D14,2))+(COUNTIF('Excite Day 3'!D5,3)+COUNTIF('Excite Day 3'!D6,3)+COUNTIF('Excite Day 3'!D7,3)+COUNTIF('Excite Day 3'!D8,3)+COUNTIF('Excite Day 3'!D9,3)+COUNTIF('Excite Day 3'!D10,3)+COUNTIF('Excite Day 3'!D11,3)+COUNTIF('Excite Day 3'!D12,3)+COUNTIF('Excite Day 3'!D13,3)+COUNTIF('Excite Day 3'!D14,3))+(COUNTIF('Excite Day 3'!D5,4)+COUNTIF('Excite Day 3'!D6,4)+COUNTIF('Excite Day 3'!D7,4)+COUNTIF('Excite Day 3'!D8,4)+COUNTIF('Excite Day 3'!D9,4)+COUNTIF('Excite Day 3'!D10,4)+COUNTIF('Excite Day 3'!D11,4)+COUNTIF('Excite Day 3'!D12,4)+COUNTIF('Excite Day 3'!D13,4)+COUNTIF('Excite Day 3'!D14,4))</x:f>
        <x:v>0</x:v>
      </x:c>
      <x:c r="E11" s="13" t="str">
        <x:f>IF(D11=0,"",(1*(COUNTIF('Excite Day 3'!D5,1)+COUNTIF('Excite Day 3'!D6,1)+COUNTIF('Excite Day 3'!D7,1)+COUNTIF('Excite Day 3'!D8,1)+COUNTIF('Excite Day 3'!D9,1)+COUNTIF('Excite Day 3'!D10,1)+COUNTIF('Excite Day 3'!D11,1)+COUNTIF('Excite Day 3'!D12,1)+COUNTIF('Excite Day 3'!D13,1)+COUNTIF('Excite Day 3'!D14,1))+2*(COUNTIF('Excite Day 3'!D5,2)+COUNTIF('Excite Day 3'!D6,2)+COUNTIF('Excite Day 3'!D7,2)+COUNTIF('Excite Day 3'!D8,2)+COUNTIF('Excite Day 3'!D9,2)+COUNTIF('Excite Day 3'!D10,2)+COUNTIF('Excite Day 3'!D11,2)+COUNTIF('Excite Day 3'!D12,2)+COUNTIF('Excite Day 3'!D13,2)+COUNTIF('Excite Day 3'!D14,2))+3*(COUNTIF('Excite Day 3'!D5,3)+COUNTIF('Excite Day 3'!D6,3)+COUNTIF('Excite Day 3'!D7,3)+COUNTIF('Excite Day 3'!D8,3)+COUNTIF('Excite Day 3'!D9,3)+COUNTIF('Excite Day 3'!D10,3)+COUNTIF('Excite Day 3'!D11,3)+COUNTIF('Excite Day 3'!D12,3)+COUNTIF('Excite Day 3'!D13,3)+COUNTIF('Excite Day 3'!D14,3))+4*(COUNTIF('Excite Day 3'!D5,4)+COUNTIF('Excite Day 3'!D6,4)+COUNTIF('Excite Day 3'!D7,4)+COUNTIF('Excite Day 3'!D8,4)+COUNTIF('Excite Day 3'!D9,4)+COUNTIF('Excite Day 3'!D10,4)+COUNTIF('Excite Day 3'!D11,4)+COUNTIF('Excite Day 3'!D12,4)+COUNTIF('Excite Day 3'!D13,4)+COUNTIF('Excite Day 3'!D14,4)))/D11)</x:f>
      </x:c>
      <x:c r="F11" s="3" t="n">
        <x:f>(COUNTIF('Excite Day 3'!D5,3)+COUNTIF('Excite Day 3'!D6,3)+COUNTIF('Excite Day 3'!D7,3)+COUNTIF('Excite Day 3'!D8,3)+COUNTIF('Excite Day 3'!D9,3)+COUNTIF('Excite Day 3'!D10,3)+COUNTIF('Excite Day 3'!D11,3)+COUNTIF('Excite Day 3'!D12,3)+COUNTIF('Excite Day 3'!D13,3)+COUNTIF('Excite Day 3'!D14,3))</x:f>
        <x:v>0</x:v>
      </x:c>
      <x:c r="G11" s="3" t="n">
        <x:f>(COUNTIF('Excite Day 3'!D5,4)+COUNTIF('Excite Day 3'!D6,4)+COUNTIF('Excite Day 3'!D7,4)+COUNTIF('Excite Day 3'!D8,4)+COUNTIF('Excite Day 3'!D9,4)+COUNTIF('Excite Day 3'!D10,4)+COUNTIF('Excite Day 3'!D11,4)+COUNTIF('Excite Day 3'!D12,4)+COUNTIF('Excite Day 3'!D13,4)+COUNTIF('Excite Day 3'!D14,4))</x:f>
        <x:v>0</x:v>
      </x:c>
      <x:c r="H11" s="3" t="n">
        <x:f>(COUNTIF('Excite Day 3'!H5,"Yes")+COUNTIF('Excite Day 3'!H6,"Yes")+COUNTIF('Excite Day 3'!H7,"Yes")+COUNTIF('Excite Day 3'!H8,"Yes")+COUNTIF('Excite Day 3'!H9,"Yes")+COUNTIF('Excite Day 3'!H10,"Yes")+COUNTIF('Excite Day 3'!H11,"Yes")+COUNTIF('Excite Day 3'!H12,"Yes")+COUNTIF('Excite Day 3'!H13,"Yes")+COUNTIF('Excite Day 3'!H14,"Yes"))</x:f>
        <x:v>0</x:v>
      </x:c>
    </x:row>
    <x:row r="12" ht="70" customHeight="1">
      <x:c r="A12" s="3" t="str">
        <x:v>Excite Grade 2</x:v>
      </x:c>
      <x:c r="B12" s="3" t="n">
        <x:v>3</x:v>
      </x:c>
      <x:c r="C12" s="3" t="str">
        <x:v>Oral health</x:v>
      </x:c>
      <x:c r="D12" s="3" t="n">
        <x:f>(COUNTIF('Excite Day 3'!D7,1)+COUNTIF('Excite Day 3'!D8,1))+(COUNTIF('Excite Day 3'!D7,2)+COUNTIF('Excite Day 3'!D8,2))+(COUNTIF('Excite Day 3'!D7,3)+COUNTIF('Excite Day 3'!D8,3))+(COUNTIF('Excite Day 3'!D7,4)+COUNTIF('Excite Day 3'!D8,4))</x:f>
        <x:v>0</x:v>
      </x:c>
      <x:c r="E12" s="13" t="str">
        <x:f>IF(D12=0,"",(1*(COUNTIF('Excite Day 3'!D7,1)+COUNTIF('Excite Day 3'!D8,1))+2*(COUNTIF('Excite Day 3'!D7,2)+COUNTIF('Excite Day 3'!D8,2))+3*(COUNTIF('Excite Day 3'!D7,3)+COUNTIF('Excite Day 3'!D8,3))+4*(COUNTIF('Excite Day 3'!D7,4)+COUNTIF('Excite Day 3'!D8,4)))/D12)</x:f>
      </x:c>
      <x:c r="F12" s="3" t="n">
        <x:f>(COUNTIF('Excite Day 3'!D7,3)+COUNTIF('Excite Day 3'!D8,3))</x:f>
        <x:v>0</x:v>
      </x:c>
      <x:c r="G12" s="3" t="n">
        <x:f>(COUNTIF('Excite Day 3'!D7,4)+COUNTIF('Excite Day 3'!D8,4))</x:f>
        <x:v>0</x:v>
      </x:c>
      <x:c r="H12" s="3" t="n">
        <x:f>(COUNTIF('Excite Day 3'!H7,"Yes")+COUNTIF('Excite Day 3'!H8,"Yes"))</x:f>
        <x:v>0</x:v>
      </x:c>
    </x:row>
    <x:row r="13" ht="70" customHeight="1">
      <x:c r="A13" s="3" t="str">
        <x:v>Excite Grade 2</x:v>
      </x:c>
      <x:c r="B13" s="3" t="n">
        <x:v>3</x:v>
      </x:c>
      <x:c r="C13" s="3" t="str">
        <x:v>Personal safety</x:v>
      </x:c>
      <x:c r="D13" s="3" t="n">
        <x:f>(COUNTIF('Excite Day 3'!D9,1)+COUNTIF('Excite Day 3'!D10,1)+COUNTIF('Excite Day 3'!D11,1)+COUNTIF('Excite Day 3'!D14,1))+(COUNTIF('Excite Day 3'!D9,2)+COUNTIF('Excite Day 3'!D10,2)+COUNTIF('Excite Day 3'!D11,2)+COUNTIF('Excite Day 3'!D14,2))+(COUNTIF('Excite Day 3'!D9,3)+COUNTIF('Excite Day 3'!D10,3)+COUNTIF('Excite Day 3'!D11,3)+COUNTIF('Excite Day 3'!D14,3))+(COUNTIF('Excite Day 3'!D9,4)+COUNTIF('Excite Day 3'!D10,4)+COUNTIF('Excite Day 3'!D11,4)+COUNTIF('Excite Day 3'!D14,4))</x:f>
        <x:v>0</x:v>
      </x:c>
      <x:c r="E13" s="13" t="str">
        <x:f>IF(D13=0,"",(1*(COUNTIF('Excite Day 3'!D9,1)+COUNTIF('Excite Day 3'!D10,1)+COUNTIF('Excite Day 3'!D11,1)+COUNTIF('Excite Day 3'!D14,1))+2*(COUNTIF('Excite Day 3'!D9,2)+COUNTIF('Excite Day 3'!D10,2)+COUNTIF('Excite Day 3'!D11,2)+COUNTIF('Excite Day 3'!D14,2))+3*(COUNTIF('Excite Day 3'!D9,3)+COUNTIF('Excite Day 3'!D10,3)+COUNTIF('Excite Day 3'!D11,3)+COUNTIF('Excite Day 3'!D14,3))+4*(COUNTIF('Excite Day 3'!D9,4)+COUNTIF('Excite Day 3'!D10,4)+COUNTIF('Excite Day 3'!D11,4)+COUNTIF('Excite Day 3'!D14,4)))/D13)</x:f>
      </x:c>
      <x:c r="F13" s="3" t="n">
        <x:f>(COUNTIF('Excite Day 3'!D9,3)+COUNTIF('Excite Day 3'!D10,3)+COUNTIF('Excite Day 3'!D11,3)+COUNTIF('Excite Day 3'!D14,3))</x:f>
        <x:v>0</x:v>
      </x:c>
      <x:c r="G13" s="3" t="n">
        <x:f>(COUNTIF('Excite Day 3'!D9,4)+COUNTIF('Excite Day 3'!D10,4)+COUNTIF('Excite Day 3'!D11,4)+COUNTIF('Excite Day 3'!D14,4))</x:f>
        <x:v>0</x:v>
      </x:c>
      <x:c r="H13" s="3" t="n">
        <x:f>(COUNTIF('Excite Day 3'!H9,"Yes")+COUNTIF('Excite Day 3'!H10,"Yes")+COUNTIF('Excite Day 3'!H11,"Yes")+COUNTIF('Excite Day 3'!H14,"Yes"))</x:f>
        <x:v>0</x:v>
      </x:c>
    </x:row>
    <x:row r="14" ht="70" customHeight="1">
      <x:c r="A14" s="3" t="str">
        <x:v>Excite Grade 2</x:v>
      </x:c>
      <x:c r="B14" s="3" t="n">
        <x:v>4</x:v>
      </x:c>
      <x:c r="C14" s="3" t="str">
        <x:v>Health</x:v>
      </x:c>
      <x:c r="D14" s="3" t="n">
        <x:f>(COUNTIF('Excite Day 4'!D5,1)+COUNTIF('Excite Day 4'!D6,1)+COUNTIF('Excite Day 4'!D7,1)+COUNTIF('Excite Day 4'!D8,1)+COUNTIF('Excite Day 4'!D9,1)+COUNTIF('Excite Day 4'!D10,1)+COUNTIF('Excite Day 4'!D11,1)+COUNTIF('Excite Day 4'!D12,1)+COUNTIF('Excite Day 4'!D13,1)+COUNTIF('Excite Day 4'!D14,1))+(COUNTIF('Excite Day 4'!D5,2)+COUNTIF('Excite Day 4'!D6,2)+COUNTIF('Excite Day 4'!D7,2)+COUNTIF('Excite Day 4'!D8,2)+COUNTIF('Excite Day 4'!D9,2)+COUNTIF('Excite Day 4'!D10,2)+COUNTIF('Excite Day 4'!D11,2)+COUNTIF('Excite Day 4'!D12,2)+COUNTIF('Excite Day 4'!D13,2)+COUNTIF('Excite Day 4'!D14,2))+(COUNTIF('Excite Day 4'!D5,3)+COUNTIF('Excite Day 4'!D6,3)+COUNTIF('Excite Day 4'!D7,3)+COUNTIF('Excite Day 4'!D8,3)+COUNTIF('Excite Day 4'!D9,3)+COUNTIF('Excite Day 4'!D10,3)+COUNTIF('Excite Day 4'!D11,3)+COUNTIF('Excite Day 4'!D12,3)+COUNTIF('Excite Day 4'!D13,3)+COUNTIF('Excite Day 4'!D14,3))+(COUNTIF('Excite Day 4'!D5,4)+COUNTIF('Excite Day 4'!D6,4)+COUNTIF('Excite Day 4'!D7,4)+COUNTIF('Excite Day 4'!D8,4)+COUNTIF('Excite Day 4'!D9,4)+COUNTIF('Excite Day 4'!D10,4)+COUNTIF('Excite Day 4'!D11,4)+COUNTIF('Excite Day 4'!D12,4)+COUNTIF('Excite Day 4'!D13,4)+COUNTIF('Excite Day 4'!D14,4))</x:f>
        <x:v>0</x:v>
      </x:c>
      <x:c r="E14" s="13" t="str">
        <x:f>IF(D14=0,"",(1*(COUNTIF('Excite Day 4'!D5,1)+COUNTIF('Excite Day 4'!D6,1)+COUNTIF('Excite Day 4'!D7,1)+COUNTIF('Excite Day 4'!D8,1)+COUNTIF('Excite Day 4'!D9,1)+COUNTIF('Excite Day 4'!D10,1)+COUNTIF('Excite Day 4'!D11,1)+COUNTIF('Excite Day 4'!D12,1)+COUNTIF('Excite Day 4'!D13,1)+COUNTIF('Excite Day 4'!D14,1))+2*(COUNTIF('Excite Day 4'!D5,2)+COUNTIF('Excite Day 4'!D6,2)+COUNTIF('Excite Day 4'!D7,2)+COUNTIF('Excite Day 4'!D8,2)+COUNTIF('Excite Day 4'!D9,2)+COUNTIF('Excite Day 4'!D10,2)+COUNTIF('Excite Day 4'!D11,2)+COUNTIF('Excite Day 4'!D12,2)+COUNTIF('Excite Day 4'!D13,2)+COUNTIF('Excite Day 4'!D14,2))+3*(COUNTIF('Excite Day 4'!D5,3)+COUNTIF('Excite Day 4'!D6,3)+COUNTIF('Excite Day 4'!D7,3)+COUNTIF('Excite Day 4'!D8,3)+COUNTIF('Excite Day 4'!D9,3)+COUNTIF('Excite Day 4'!D10,3)+COUNTIF('Excite Day 4'!D11,3)+COUNTIF('Excite Day 4'!D12,3)+COUNTIF('Excite Day 4'!D13,3)+COUNTIF('Excite Day 4'!D14,3))+4*(COUNTIF('Excite Day 4'!D5,4)+COUNTIF('Excite Day 4'!D6,4)+COUNTIF('Excite Day 4'!D7,4)+COUNTIF('Excite Day 4'!D8,4)+COUNTIF('Excite Day 4'!D9,4)+COUNTIF('Excite Day 4'!D10,4)+COUNTIF('Excite Day 4'!D11,4)+COUNTIF('Excite Day 4'!D12,4)+COUNTIF('Excite Day 4'!D13,4)+COUNTIF('Excite Day 4'!D14,4)))/D14)</x:f>
      </x:c>
      <x:c r="F14" s="3" t="n">
        <x:f>(COUNTIF('Excite Day 4'!D5,3)+COUNTIF('Excite Day 4'!D6,3)+COUNTIF('Excite Day 4'!D7,3)+COUNTIF('Excite Day 4'!D8,3)+COUNTIF('Excite Day 4'!D9,3)+COUNTIF('Excite Day 4'!D10,3)+COUNTIF('Excite Day 4'!D11,3)+COUNTIF('Excite Day 4'!D12,3)+COUNTIF('Excite Day 4'!D13,3)+COUNTIF('Excite Day 4'!D14,3))</x:f>
        <x:v>0</x:v>
      </x:c>
      <x:c r="G14" s="3" t="n">
        <x:f>(COUNTIF('Excite Day 4'!D5,4)+COUNTIF('Excite Day 4'!D6,4)+COUNTIF('Excite Day 4'!D7,4)+COUNTIF('Excite Day 4'!D8,4)+COUNTIF('Excite Day 4'!D9,4)+COUNTIF('Excite Day 4'!D10,4)+COUNTIF('Excite Day 4'!D11,4)+COUNTIF('Excite Day 4'!D12,4)+COUNTIF('Excite Day 4'!D13,4)+COUNTIF('Excite Day 4'!D14,4))</x:f>
        <x:v>0</x:v>
      </x:c>
      <x:c r="H14" s="3" t="n">
        <x:f>(COUNTIF('Excite Day 4'!H5,"Yes")+COUNTIF('Excite Day 4'!H6,"Yes")+COUNTIF('Excite Day 4'!H7,"Yes")+COUNTIF('Excite Day 4'!H8,"Yes")+COUNTIF('Excite Day 4'!H9,"Yes")+COUNTIF('Excite Day 4'!H10,"Yes")+COUNTIF('Excite Day 4'!H11,"Yes")+COUNTIF('Excite Day 4'!H12,"Yes")+COUNTIF('Excite Day 4'!H13,"Yes")+COUNTIF('Excite Day 4'!H14,"Yes"))</x:f>
        <x:v>0</x:v>
      </x:c>
    </x:row>
    <x:row r="15" ht="70" customHeight="1">
      <x:c r="A15" s="3" t="str">
        <x:v>Excite Grade 2</x:v>
      </x:c>
      <x:c r="B15" s="3" t="n">
        <x:v>4</x:v>
      </x:c>
      <x:c r="C15" s="3" t="str">
        <x:v>Oral health</x:v>
      </x:c>
      <x:c r="D15" s="3" t="n">
        <x:f>(COUNTIF('Excite Day 4'!D7,1)+COUNTIF('Excite Day 4'!D8,1))+(COUNTIF('Excite Day 4'!D7,2)+COUNTIF('Excite Day 4'!D8,2))+(COUNTIF('Excite Day 4'!D7,3)+COUNTIF('Excite Day 4'!D8,3))+(COUNTIF('Excite Day 4'!D7,4)+COUNTIF('Excite Day 4'!D8,4))</x:f>
        <x:v>0</x:v>
      </x:c>
      <x:c r="E15" s="13" t="str">
        <x:f>IF(D15=0,"",(1*(COUNTIF('Excite Day 4'!D7,1)+COUNTIF('Excite Day 4'!D8,1))+2*(COUNTIF('Excite Day 4'!D7,2)+COUNTIF('Excite Day 4'!D8,2))+3*(COUNTIF('Excite Day 4'!D7,3)+COUNTIF('Excite Day 4'!D8,3))+4*(COUNTIF('Excite Day 4'!D7,4)+COUNTIF('Excite Day 4'!D8,4)))/D15)</x:f>
      </x:c>
      <x:c r="F15" s="3" t="n">
        <x:f>(COUNTIF('Excite Day 4'!D7,3)+COUNTIF('Excite Day 4'!D8,3))</x:f>
        <x:v>0</x:v>
      </x:c>
      <x:c r="G15" s="3" t="n">
        <x:f>(COUNTIF('Excite Day 4'!D7,4)+COUNTIF('Excite Day 4'!D8,4))</x:f>
        <x:v>0</x:v>
      </x:c>
      <x:c r="H15" s="3" t="n">
        <x:f>(COUNTIF('Excite Day 4'!H7,"Yes")+COUNTIF('Excite Day 4'!H8,"Yes"))</x:f>
        <x:v>0</x:v>
      </x:c>
    </x:row>
    <x:row r="16" ht="70" customHeight="1">
      <x:c r="A16" s="3" t="str">
        <x:v>Excite Grade 2</x:v>
      </x:c>
      <x:c r="B16" s="3" t="n">
        <x:v>4</x:v>
      </x:c>
      <x:c r="C16" s="3" t="str">
        <x:v>Personal safety</x:v>
      </x:c>
      <x:c r="D16" s="3" t="n">
        <x:f>(COUNTIF('Excite Day 4'!D9,1)+COUNTIF('Excite Day 4'!D10,1)+COUNTIF('Excite Day 4'!D11,1)+COUNTIF('Excite Day 4'!D14,1))+(COUNTIF('Excite Day 4'!D9,2)+COUNTIF('Excite Day 4'!D10,2)+COUNTIF('Excite Day 4'!D11,2)+COUNTIF('Excite Day 4'!D14,2))+(COUNTIF('Excite Day 4'!D9,3)+COUNTIF('Excite Day 4'!D10,3)+COUNTIF('Excite Day 4'!D11,3)+COUNTIF('Excite Day 4'!D14,3))+(COUNTIF('Excite Day 4'!D9,4)+COUNTIF('Excite Day 4'!D10,4)+COUNTIF('Excite Day 4'!D11,4)+COUNTIF('Excite Day 4'!D14,4))</x:f>
        <x:v>0</x:v>
      </x:c>
      <x:c r="E16" s="13" t="str">
        <x:f>IF(D16=0,"",(1*(COUNTIF('Excite Day 4'!D9,1)+COUNTIF('Excite Day 4'!D10,1)+COUNTIF('Excite Day 4'!D11,1)+COUNTIF('Excite Day 4'!D14,1))+2*(COUNTIF('Excite Day 4'!D9,2)+COUNTIF('Excite Day 4'!D10,2)+COUNTIF('Excite Day 4'!D11,2)+COUNTIF('Excite Day 4'!D14,2))+3*(COUNTIF('Excite Day 4'!D9,3)+COUNTIF('Excite Day 4'!D10,3)+COUNTIF('Excite Day 4'!D11,3)+COUNTIF('Excite Day 4'!D14,3))+4*(COUNTIF('Excite Day 4'!D9,4)+COUNTIF('Excite Day 4'!D10,4)+COUNTIF('Excite Day 4'!D11,4)+COUNTIF('Excite Day 4'!D14,4)))/D16)</x:f>
      </x:c>
      <x:c r="F16" s="3" t="n">
        <x:f>(COUNTIF('Excite Day 4'!D9,3)+COUNTIF('Excite Day 4'!D10,3)+COUNTIF('Excite Day 4'!D11,3)+COUNTIF('Excite Day 4'!D14,3))</x:f>
        <x:v>0</x:v>
      </x:c>
      <x:c r="G16" s="3" t="n">
        <x:f>(COUNTIF('Excite Day 4'!D9,4)+COUNTIF('Excite Day 4'!D10,4)+COUNTIF('Excite Day 4'!D11,4)+COUNTIF('Excite Day 4'!D14,4))</x:f>
        <x:v>0</x:v>
      </x:c>
      <x:c r="H16" s="3" t="n">
        <x:f>(COUNTIF('Excite Day 4'!H9,"Yes")+COUNTIF('Excite Day 4'!H10,"Yes")+COUNTIF('Excite Day 4'!H11,"Yes")+COUNTIF('Excite Day 4'!H14,"Yes"))</x:f>
        <x:v>0</x:v>
      </x:c>
    </x:row>
    <x:row r="17" ht="70" customHeight="1">
      <x:c r="A17" s="3" t="str">
        <x:v>Excite Grade 2</x:v>
      </x:c>
      <x:c r="B17" s="3" t="n">
        <x:v>5</x:v>
      </x:c>
      <x:c r="C17" s="3" t="str">
        <x:v>Health</x:v>
      </x:c>
      <x:c r="D17" s="3" t="n">
        <x:f>(COUNTIF('Excite Day 5'!D5,1)+COUNTIF('Excite Day 5'!D6,1)+COUNTIF('Excite Day 5'!D7,1)+COUNTIF('Excite Day 5'!D8,1)+COUNTIF('Excite Day 5'!D9,1)+COUNTIF('Excite Day 5'!D10,1)+COUNTIF('Excite Day 5'!D11,1)+COUNTIF('Excite Day 5'!D12,1)+COUNTIF('Excite Day 5'!D13,1)+COUNTIF('Excite Day 5'!D14,1))+(COUNTIF('Excite Day 5'!D5,2)+COUNTIF('Excite Day 5'!D6,2)+COUNTIF('Excite Day 5'!D7,2)+COUNTIF('Excite Day 5'!D8,2)+COUNTIF('Excite Day 5'!D9,2)+COUNTIF('Excite Day 5'!D10,2)+COUNTIF('Excite Day 5'!D11,2)+COUNTIF('Excite Day 5'!D12,2)+COUNTIF('Excite Day 5'!D13,2)+COUNTIF('Excite Day 5'!D14,2))+(COUNTIF('Excite Day 5'!D5,3)+COUNTIF('Excite Day 5'!D6,3)+COUNTIF('Excite Day 5'!D7,3)+COUNTIF('Excite Day 5'!D8,3)+COUNTIF('Excite Day 5'!D9,3)+COUNTIF('Excite Day 5'!D10,3)+COUNTIF('Excite Day 5'!D11,3)+COUNTIF('Excite Day 5'!D12,3)+COUNTIF('Excite Day 5'!D13,3)+COUNTIF('Excite Day 5'!D14,3))+(COUNTIF('Excite Day 5'!D5,4)+COUNTIF('Excite Day 5'!D6,4)+COUNTIF('Excite Day 5'!D7,4)+COUNTIF('Excite Day 5'!D8,4)+COUNTIF('Excite Day 5'!D9,4)+COUNTIF('Excite Day 5'!D10,4)+COUNTIF('Excite Day 5'!D11,4)+COUNTIF('Excite Day 5'!D12,4)+COUNTIF('Excite Day 5'!D13,4)+COUNTIF('Excite Day 5'!D14,4))</x:f>
        <x:v>0</x:v>
      </x:c>
      <x:c r="E17" s="13" t="str">
        <x:f>IF(D17=0,"",(1*(COUNTIF('Excite Day 5'!D5,1)+COUNTIF('Excite Day 5'!D6,1)+COUNTIF('Excite Day 5'!D7,1)+COUNTIF('Excite Day 5'!D8,1)+COUNTIF('Excite Day 5'!D9,1)+COUNTIF('Excite Day 5'!D10,1)+COUNTIF('Excite Day 5'!D11,1)+COUNTIF('Excite Day 5'!D12,1)+COUNTIF('Excite Day 5'!D13,1)+COUNTIF('Excite Day 5'!D14,1))+2*(COUNTIF('Excite Day 5'!D5,2)+COUNTIF('Excite Day 5'!D6,2)+COUNTIF('Excite Day 5'!D7,2)+COUNTIF('Excite Day 5'!D8,2)+COUNTIF('Excite Day 5'!D9,2)+COUNTIF('Excite Day 5'!D10,2)+COUNTIF('Excite Day 5'!D11,2)+COUNTIF('Excite Day 5'!D12,2)+COUNTIF('Excite Day 5'!D13,2)+COUNTIF('Excite Day 5'!D14,2))+3*(COUNTIF('Excite Day 5'!D5,3)+COUNTIF('Excite Day 5'!D6,3)+COUNTIF('Excite Day 5'!D7,3)+COUNTIF('Excite Day 5'!D8,3)+COUNTIF('Excite Day 5'!D9,3)+COUNTIF('Excite Day 5'!D10,3)+COUNTIF('Excite Day 5'!D11,3)+COUNTIF('Excite Day 5'!D12,3)+COUNTIF('Excite Day 5'!D13,3)+COUNTIF('Excite Day 5'!D14,3))+4*(COUNTIF('Excite Day 5'!D5,4)+COUNTIF('Excite Day 5'!D6,4)+COUNTIF('Excite Day 5'!D7,4)+COUNTIF('Excite Day 5'!D8,4)+COUNTIF('Excite Day 5'!D9,4)+COUNTIF('Excite Day 5'!D10,4)+COUNTIF('Excite Day 5'!D11,4)+COUNTIF('Excite Day 5'!D12,4)+COUNTIF('Excite Day 5'!D13,4)+COUNTIF('Excite Day 5'!D14,4)))/D17)</x:f>
      </x:c>
      <x:c r="F17" s="3" t="n">
        <x:f>(COUNTIF('Excite Day 5'!D5,3)+COUNTIF('Excite Day 5'!D6,3)+COUNTIF('Excite Day 5'!D7,3)+COUNTIF('Excite Day 5'!D8,3)+COUNTIF('Excite Day 5'!D9,3)+COUNTIF('Excite Day 5'!D10,3)+COUNTIF('Excite Day 5'!D11,3)+COUNTIF('Excite Day 5'!D12,3)+COUNTIF('Excite Day 5'!D13,3)+COUNTIF('Excite Day 5'!D14,3))</x:f>
        <x:v>0</x:v>
      </x:c>
      <x:c r="G17" s="3" t="n">
        <x:f>(COUNTIF('Excite Day 5'!D5,4)+COUNTIF('Excite Day 5'!D6,4)+COUNTIF('Excite Day 5'!D7,4)+COUNTIF('Excite Day 5'!D8,4)+COUNTIF('Excite Day 5'!D9,4)+COUNTIF('Excite Day 5'!D10,4)+COUNTIF('Excite Day 5'!D11,4)+COUNTIF('Excite Day 5'!D12,4)+COUNTIF('Excite Day 5'!D13,4)+COUNTIF('Excite Day 5'!D14,4))</x:f>
        <x:v>0</x:v>
      </x:c>
      <x:c r="H17" s="3" t="n">
        <x:f>(COUNTIF('Excite Day 5'!H5,"Yes")+COUNTIF('Excite Day 5'!H6,"Yes")+COUNTIF('Excite Day 5'!H7,"Yes")+COUNTIF('Excite Day 5'!H8,"Yes")+COUNTIF('Excite Day 5'!H9,"Yes")+COUNTIF('Excite Day 5'!H10,"Yes")+COUNTIF('Excite Day 5'!H11,"Yes")+COUNTIF('Excite Day 5'!H12,"Yes")+COUNTIF('Excite Day 5'!H13,"Yes")+COUNTIF('Excite Day 5'!H14,"Yes"))</x:f>
        <x:v>0</x:v>
      </x:c>
    </x:row>
    <x:row r="18" ht="70" customHeight="1">
      <x:c r="A18" s="3" t="str">
        <x:v>Excite Grade 2</x:v>
      </x:c>
      <x:c r="B18" s="3" t="n">
        <x:v>5</x:v>
      </x:c>
      <x:c r="C18" s="3" t="str">
        <x:v>Oral health</x:v>
      </x:c>
      <x:c r="D18" s="3" t="n">
        <x:f>(COUNTIF('Excite Day 5'!D7,1)+COUNTIF('Excite Day 5'!D8,1))+(COUNTIF('Excite Day 5'!D7,2)+COUNTIF('Excite Day 5'!D8,2))+(COUNTIF('Excite Day 5'!D7,3)+COUNTIF('Excite Day 5'!D8,3))+(COUNTIF('Excite Day 5'!D7,4)+COUNTIF('Excite Day 5'!D8,4))</x:f>
        <x:v>0</x:v>
      </x:c>
      <x:c r="E18" s="13" t="str">
        <x:f>IF(D18=0,"",(1*(COUNTIF('Excite Day 5'!D7,1)+COUNTIF('Excite Day 5'!D8,1))+2*(COUNTIF('Excite Day 5'!D7,2)+COUNTIF('Excite Day 5'!D8,2))+3*(COUNTIF('Excite Day 5'!D7,3)+COUNTIF('Excite Day 5'!D8,3))+4*(COUNTIF('Excite Day 5'!D7,4)+COUNTIF('Excite Day 5'!D8,4)))/D18)</x:f>
      </x:c>
      <x:c r="F18" s="3" t="n">
        <x:f>(COUNTIF('Excite Day 5'!D7,3)+COUNTIF('Excite Day 5'!D8,3))</x:f>
        <x:v>0</x:v>
      </x:c>
      <x:c r="G18" s="3" t="n">
        <x:f>(COUNTIF('Excite Day 5'!D7,4)+COUNTIF('Excite Day 5'!D8,4))</x:f>
        <x:v>0</x:v>
      </x:c>
      <x:c r="H18" s="3" t="n">
        <x:f>(COUNTIF('Excite Day 5'!H7,"Yes")+COUNTIF('Excite Day 5'!H8,"Yes"))</x:f>
        <x:v>0</x:v>
      </x:c>
    </x:row>
    <x:row r="19" ht="70" customHeight="1">
      <x:c r="A19" s="3" t="str">
        <x:v>Excite Grade 2</x:v>
      </x:c>
      <x:c r="B19" s="3" t="n">
        <x:v>5</x:v>
      </x:c>
      <x:c r="C19" s="3" t="str">
        <x:v>Personal safety</x:v>
      </x:c>
      <x:c r="D19" s="3" t="n">
        <x:f>(COUNTIF('Excite Day 5'!D9,1)+COUNTIF('Excite Day 5'!D10,1)+COUNTIF('Excite Day 5'!D11,1)+COUNTIF('Excite Day 5'!D14,1))+(COUNTIF('Excite Day 5'!D9,2)+COUNTIF('Excite Day 5'!D10,2)+COUNTIF('Excite Day 5'!D11,2)+COUNTIF('Excite Day 5'!D14,2))+(COUNTIF('Excite Day 5'!D9,3)+COUNTIF('Excite Day 5'!D10,3)+COUNTIF('Excite Day 5'!D11,3)+COUNTIF('Excite Day 5'!D14,3))+(COUNTIF('Excite Day 5'!D9,4)+COUNTIF('Excite Day 5'!D10,4)+COUNTIF('Excite Day 5'!D11,4)+COUNTIF('Excite Day 5'!D14,4))</x:f>
        <x:v>0</x:v>
      </x:c>
      <x:c r="E19" s="13" t="str">
        <x:f>IF(D19=0,"",(1*(COUNTIF('Excite Day 5'!D9,1)+COUNTIF('Excite Day 5'!D10,1)+COUNTIF('Excite Day 5'!D11,1)+COUNTIF('Excite Day 5'!D14,1))+2*(COUNTIF('Excite Day 5'!D9,2)+COUNTIF('Excite Day 5'!D10,2)+COUNTIF('Excite Day 5'!D11,2)+COUNTIF('Excite Day 5'!D14,2))+3*(COUNTIF('Excite Day 5'!D9,3)+COUNTIF('Excite Day 5'!D10,3)+COUNTIF('Excite Day 5'!D11,3)+COUNTIF('Excite Day 5'!D14,3))+4*(COUNTIF('Excite Day 5'!D9,4)+COUNTIF('Excite Day 5'!D10,4)+COUNTIF('Excite Day 5'!D11,4)+COUNTIF('Excite Day 5'!D14,4)))/D19)</x:f>
      </x:c>
      <x:c r="F19" s="3" t="n">
        <x:f>(COUNTIF('Excite Day 5'!D9,3)+COUNTIF('Excite Day 5'!D10,3)+COUNTIF('Excite Day 5'!D11,3)+COUNTIF('Excite Day 5'!D14,3))</x:f>
        <x:v>0</x:v>
      </x:c>
      <x:c r="G19" s="3" t="n">
        <x:f>(COUNTIF('Excite Day 5'!D9,4)+COUNTIF('Excite Day 5'!D10,4)+COUNTIF('Excite Day 5'!D11,4)+COUNTIF('Excite Day 5'!D14,4))</x:f>
        <x:v>0</x:v>
      </x:c>
      <x:c r="H19" s="3" t="n">
        <x:f>(COUNTIF('Excite Day 5'!H9,"Yes")+COUNTIF('Excite Day 5'!H10,"Yes")+COUNTIF('Excite Day 5'!H11,"Yes")+COUNTIF('Excite Day 5'!H14,"Yes"))</x:f>
        <x:v>0</x:v>
      </x:c>
    </x:row>
    <x:row r="20" ht="70" customHeight="1">
      <x:c r="A20" s="3" t="str">
        <x:v>Inspire Grade 3</x:v>
      </x:c>
      <x:c r="B20" s="3" t="n">
        <x:v>1</x:v>
      </x:c>
      <x:c r="C20" s="3" t="str">
        <x:v>Health</x:v>
      </x:c>
      <x:c r="D20" s="3" t="n">
        <x:f>(COUNTIF('Inspire Day 1'!D5,1)+COUNTIF('Inspire Day 1'!D6,1)+COUNTIF('Inspire Day 1'!D7,1)+COUNTIF('Inspire Day 1'!D8,1)+COUNTIF('Inspire Day 1'!D9,1)+COUNTIF('Inspire Day 1'!D10,1)+COUNTIF('Inspire Day 1'!D11,1)+COUNTIF('Inspire Day 1'!D12,1)+COUNTIF('Inspire Day 1'!D13,1)+COUNTIF('Inspire Day 1'!D14,1))+(COUNTIF('Inspire Day 1'!D5,2)+COUNTIF('Inspire Day 1'!D6,2)+COUNTIF('Inspire Day 1'!D7,2)+COUNTIF('Inspire Day 1'!D8,2)+COUNTIF('Inspire Day 1'!D9,2)+COUNTIF('Inspire Day 1'!D10,2)+COUNTIF('Inspire Day 1'!D11,2)+COUNTIF('Inspire Day 1'!D12,2)+COUNTIF('Inspire Day 1'!D13,2)+COUNTIF('Inspire Day 1'!D14,2))+(COUNTIF('Inspire Day 1'!D5,3)+COUNTIF('Inspire Day 1'!D6,3)+COUNTIF('Inspire Day 1'!D7,3)+COUNTIF('Inspire Day 1'!D8,3)+COUNTIF('Inspire Day 1'!D9,3)+COUNTIF('Inspire Day 1'!D10,3)+COUNTIF('Inspire Day 1'!D11,3)+COUNTIF('Inspire Day 1'!D12,3)+COUNTIF('Inspire Day 1'!D13,3)+COUNTIF('Inspire Day 1'!D14,3))+(COUNTIF('Inspire Day 1'!D5,4)+COUNTIF('Inspire Day 1'!D6,4)+COUNTIF('Inspire Day 1'!D7,4)+COUNTIF('Inspire Day 1'!D8,4)+COUNTIF('Inspire Day 1'!D9,4)+COUNTIF('Inspire Day 1'!D10,4)+COUNTIF('Inspire Day 1'!D11,4)+COUNTIF('Inspire Day 1'!D12,4)+COUNTIF('Inspire Day 1'!D13,4)+COUNTIF('Inspire Day 1'!D14,4))</x:f>
        <x:v>0</x:v>
      </x:c>
      <x:c r="E20" s="13" t="str">
        <x:f>IF(D20=0,"",(1*(COUNTIF('Inspire Day 1'!D5,1)+COUNTIF('Inspire Day 1'!D6,1)+COUNTIF('Inspire Day 1'!D7,1)+COUNTIF('Inspire Day 1'!D8,1)+COUNTIF('Inspire Day 1'!D9,1)+COUNTIF('Inspire Day 1'!D10,1)+COUNTIF('Inspire Day 1'!D11,1)+COUNTIF('Inspire Day 1'!D12,1)+COUNTIF('Inspire Day 1'!D13,1)+COUNTIF('Inspire Day 1'!D14,1))+2*(COUNTIF('Inspire Day 1'!D5,2)+COUNTIF('Inspire Day 1'!D6,2)+COUNTIF('Inspire Day 1'!D7,2)+COUNTIF('Inspire Day 1'!D8,2)+COUNTIF('Inspire Day 1'!D9,2)+COUNTIF('Inspire Day 1'!D10,2)+COUNTIF('Inspire Day 1'!D11,2)+COUNTIF('Inspire Day 1'!D12,2)+COUNTIF('Inspire Day 1'!D13,2)+COUNTIF('Inspire Day 1'!D14,2))+3*(COUNTIF('Inspire Day 1'!D5,3)+COUNTIF('Inspire Day 1'!D6,3)+COUNTIF('Inspire Day 1'!D7,3)+COUNTIF('Inspire Day 1'!D8,3)+COUNTIF('Inspire Day 1'!D9,3)+COUNTIF('Inspire Day 1'!D10,3)+COUNTIF('Inspire Day 1'!D11,3)+COUNTIF('Inspire Day 1'!D12,3)+COUNTIF('Inspire Day 1'!D13,3)+COUNTIF('Inspire Day 1'!D14,3))+4*(COUNTIF('Inspire Day 1'!D5,4)+COUNTIF('Inspire Day 1'!D6,4)+COUNTIF('Inspire Day 1'!D7,4)+COUNTIF('Inspire Day 1'!D8,4)+COUNTIF('Inspire Day 1'!D9,4)+COUNTIF('Inspire Day 1'!D10,4)+COUNTIF('Inspire Day 1'!D11,4)+COUNTIF('Inspire Day 1'!D12,4)+COUNTIF('Inspire Day 1'!D13,4)+COUNTIF('Inspire Day 1'!D14,4)))/D20)</x:f>
      </x:c>
      <x:c r="F20" s="3" t="n">
        <x:f>(COUNTIF('Inspire Day 1'!D5,3)+COUNTIF('Inspire Day 1'!D6,3)+COUNTIF('Inspire Day 1'!D7,3)+COUNTIF('Inspire Day 1'!D8,3)+COUNTIF('Inspire Day 1'!D9,3)+COUNTIF('Inspire Day 1'!D10,3)+COUNTIF('Inspire Day 1'!D11,3)+COUNTIF('Inspire Day 1'!D12,3)+COUNTIF('Inspire Day 1'!D13,3)+COUNTIF('Inspire Day 1'!D14,3))</x:f>
        <x:v>0</x:v>
      </x:c>
      <x:c r="G20" s="3" t="n">
        <x:f>(COUNTIF('Inspire Day 1'!D5,4)+COUNTIF('Inspire Day 1'!D6,4)+COUNTIF('Inspire Day 1'!D7,4)+COUNTIF('Inspire Day 1'!D8,4)+COUNTIF('Inspire Day 1'!D9,4)+COUNTIF('Inspire Day 1'!D10,4)+COUNTIF('Inspire Day 1'!D11,4)+COUNTIF('Inspire Day 1'!D12,4)+COUNTIF('Inspire Day 1'!D13,4)+COUNTIF('Inspire Day 1'!D14,4))</x:f>
        <x:v>0</x:v>
      </x:c>
      <x:c r="H20" s="3" t="n">
        <x:f>(COUNTIF('Inspire Day 1'!H5,"Yes")+COUNTIF('Inspire Day 1'!H6,"Yes")+COUNTIF('Inspire Day 1'!H7,"Yes")+COUNTIF('Inspire Day 1'!H8,"Yes")+COUNTIF('Inspire Day 1'!H9,"Yes")+COUNTIF('Inspire Day 1'!H10,"Yes")+COUNTIF('Inspire Day 1'!H11,"Yes")+COUNTIF('Inspire Day 1'!H12,"Yes")+COUNTIF('Inspire Day 1'!H13,"Yes")+COUNTIF('Inspire Day 1'!H14,"Yes"))</x:f>
        <x:v>0</x:v>
      </x:c>
    </x:row>
    <x:row r="21" ht="70" customHeight="1">
      <x:c r="A21" s="3" t="str">
        <x:v>Inspire Grade 3</x:v>
      </x:c>
      <x:c r="B21" s="3" t="n">
        <x:v>1</x:v>
      </x:c>
      <x:c r="C21" s="3" t="str">
        <x:v>Oral health</x:v>
      </x:c>
      <x:c r="D21" s="3" t="n">
        <x:f>(COUNTIF('Inspire Day 1'!D7,1)+COUNTIF('Inspire Day 1'!D8,1))+(COUNTIF('Inspire Day 1'!D7,2)+COUNTIF('Inspire Day 1'!D8,2))+(COUNTIF('Inspire Day 1'!D7,3)+COUNTIF('Inspire Day 1'!D8,3))+(COUNTIF('Inspire Day 1'!D7,4)+COUNTIF('Inspire Day 1'!D8,4))</x:f>
        <x:v>0</x:v>
      </x:c>
      <x:c r="E21" s="13" t="str">
        <x:f>IF(D21=0,"",(1*(COUNTIF('Inspire Day 1'!D7,1)+COUNTIF('Inspire Day 1'!D8,1))+2*(COUNTIF('Inspire Day 1'!D7,2)+COUNTIF('Inspire Day 1'!D8,2))+3*(COUNTIF('Inspire Day 1'!D7,3)+COUNTIF('Inspire Day 1'!D8,3))+4*(COUNTIF('Inspire Day 1'!D7,4)+COUNTIF('Inspire Day 1'!D8,4)))/D21)</x:f>
      </x:c>
      <x:c r="F21" s="3" t="n">
        <x:f>(COUNTIF('Inspire Day 1'!D7,3)+COUNTIF('Inspire Day 1'!D8,3))</x:f>
        <x:v>0</x:v>
      </x:c>
      <x:c r="G21" s="3" t="n">
        <x:f>(COUNTIF('Inspire Day 1'!D7,4)+COUNTIF('Inspire Day 1'!D8,4))</x:f>
        <x:v>0</x:v>
      </x:c>
      <x:c r="H21" s="3" t="n">
        <x:f>(COUNTIF('Inspire Day 1'!H7,"Yes")+COUNTIF('Inspire Day 1'!H8,"Yes"))</x:f>
        <x:v>0</x:v>
      </x:c>
    </x:row>
    <x:row r="22" ht="70" customHeight="1">
      <x:c r="A22" s="3" t="str">
        <x:v>Inspire Grade 3</x:v>
      </x:c>
      <x:c r="B22" s="3" t="n">
        <x:v>1</x:v>
      </x:c>
      <x:c r="C22" s="3" t="str">
        <x:v>Personal safety</x:v>
      </x:c>
      <x:c r="D22" s="3" t="n">
        <x:f>(COUNTIF('Inspire Day 1'!D9,1)+COUNTIF('Inspire Day 1'!D10,1)+COUNTIF('Inspire Day 1'!D11,1)+COUNTIF('Inspire Day 1'!D14,1))+(COUNTIF('Inspire Day 1'!D9,2)+COUNTIF('Inspire Day 1'!D10,2)+COUNTIF('Inspire Day 1'!D11,2)+COUNTIF('Inspire Day 1'!D14,2))+(COUNTIF('Inspire Day 1'!D9,3)+COUNTIF('Inspire Day 1'!D10,3)+COUNTIF('Inspire Day 1'!D11,3)+COUNTIF('Inspire Day 1'!D14,3))+(COUNTIF('Inspire Day 1'!D9,4)+COUNTIF('Inspire Day 1'!D10,4)+COUNTIF('Inspire Day 1'!D11,4)+COUNTIF('Inspire Day 1'!D14,4))</x:f>
        <x:v>0</x:v>
      </x:c>
      <x:c r="E22" s="13" t="str">
        <x:f>IF(D22=0,"",(1*(COUNTIF('Inspire Day 1'!D9,1)+COUNTIF('Inspire Day 1'!D10,1)+COUNTIF('Inspire Day 1'!D11,1)+COUNTIF('Inspire Day 1'!D14,1))+2*(COUNTIF('Inspire Day 1'!D9,2)+COUNTIF('Inspire Day 1'!D10,2)+COUNTIF('Inspire Day 1'!D11,2)+COUNTIF('Inspire Day 1'!D14,2))+3*(COUNTIF('Inspire Day 1'!D9,3)+COUNTIF('Inspire Day 1'!D10,3)+COUNTIF('Inspire Day 1'!D11,3)+COUNTIF('Inspire Day 1'!D14,3))+4*(COUNTIF('Inspire Day 1'!D9,4)+COUNTIF('Inspire Day 1'!D10,4)+COUNTIF('Inspire Day 1'!D11,4)+COUNTIF('Inspire Day 1'!D14,4)))/D22)</x:f>
      </x:c>
      <x:c r="F22" s="3" t="n">
        <x:f>(COUNTIF('Inspire Day 1'!D9,3)+COUNTIF('Inspire Day 1'!D10,3)+COUNTIF('Inspire Day 1'!D11,3)+COUNTIF('Inspire Day 1'!D14,3))</x:f>
        <x:v>0</x:v>
      </x:c>
      <x:c r="G22" s="3" t="n">
        <x:f>(COUNTIF('Inspire Day 1'!D9,4)+COUNTIF('Inspire Day 1'!D10,4)+COUNTIF('Inspire Day 1'!D11,4)+COUNTIF('Inspire Day 1'!D14,4))</x:f>
        <x:v>0</x:v>
      </x:c>
      <x:c r="H22" s="3" t="n">
        <x:f>(COUNTIF('Inspire Day 1'!H9,"Yes")+COUNTIF('Inspire Day 1'!H10,"Yes")+COUNTIF('Inspire Day 1'!H11,"Yes")+COUNTIF('Inspire Day 1'!H14,"Yes"))</x:f>
        <x:v>0</x:v>
      </x:c>
    </x:row>
    <x:row r="23" ht="70" customHeight="1">
      <x:c r="A23" s="3" t="str">
        <x:v>Inspire Grade 3</x:v>
      </x:c>
      <x:c r="B23" s="3" t="n">
        <x:v>2</x:v>
      </x:c>
      <x:c r="C23" s="3" t="str">
        <x:v>Health</x:v>
      </x:c>
      <x:c r="D23" s="3" t="n">
        <x:f>(COUNTIF('Inspire Day 2'!D5,1)+COUNTIF('Inspire Day 2'!D6,1)+COUNTIF('Inspire Day 2'!D7,1)+COUNTIF('Inspire Day 2'!D8,1)+COUNTIF('Inspire Day 2'!D9,1)+COUNTIF('Inspire Day 2'!D10,1)+COUNTIF('Inspire Day 2'!D11,1)+COUNTIF('Inspire Day 2'!D12,1)+COUNTIF('Inspire Day 2'!D13,1)+COUNTIF('Inspire Day 2'!D14,1))+(COUNTIF('Inspire Day 2'!D5,2)+COUNTIF('Inspire Day 2'!D6,2)+COUNTIF('Inspire Day 2'!D7,2)+COUNTIF('Inspire Day 2'!D8,2)+COUNTIF('Inspire Day 2'!D9,2)+COUNTIF('Inspire Day 2'!D10,2)+COUNTIF('Inspire Day 2'!D11,2)+COUNTIF('Inspire Day 2'!D12,2)+COUNTIF('Inspire Day 2'!D13,2)+COUNTIF('Inspire Day 2'!D14,2))+(COUNTIF('Inspire Day 2'!D5,3)+COUNTIF('Inspire Day 2'!D6,3)+COUNTIF('Inspire Day 2'!D7,3)+COUNTIF('Inspire Day 2'!D8,3)+COUNTIF('Inspire Day 2'!D9,3)+COUNTIF('Inspire Day 2'!D10,3)+COUNTIF('Inspire Day 2'!D11,3)+COUNTIF('Inspire Day 2'!D12,3)+COUNTIF('Inspire Day 2'!D13,3)+COUNTIF('Inspire Day 2'!D14,3))+(COUNTIF('Inspire Day 2'!D5,4)+COUNTIF('Inspire Day 2'!D6,4)+COUNTIF('Inspire Day 2'!D7,4)+COUNTIF('Inspire Day 2'!D8,4)+COUNTIF('Inspire Day 2'!D9,4)+COUNTIF('Inspire Day 2'!D10,4)+COUNTIF('Inspire Day 2'!D11,4)+COUNTIF('Inspire Day 2'!D12,4)+COUNTIF('Inspire Day 2'!D13,4)+COUNTIF('Inspire Day 2'!D14,4))</x:f>
        <x:v>0</x:v>
      </x:c>
      <x:c r="E23" s="13" t="str">
        <x:f>IF(D23=0,"",(1*(COUNTIF('Inspire Day 2'!D5,1)+COUNTIF('Inspire Day 2'!D6,1)+COUNTIF('Inspire Day 2'!D7,1)+COUNTIF('Inspire Day 2'!D8,1)+COUNTIF('Inspire Day 2'!D9,1)+COUNTIF('Inspire Day 2'!D10,1)+COUNTIF('Inspire Day 2'!D11,1)+COUNTIF('Inspire Day 2'!D12,1)+COUNTIF('Inspire Day 2'!D13,1)+COUNTIF('Inspire Day 2'!D14,1))+2*(COUNTIF('Inspire Day 2'!D5,2)+COUNTIF('Inspire Day 2'!D6,2)+COUNTIF('Inspire Day 2'!D7,2)+COUNTIF('Inspire Day 2'!D8,2)+COUNTIF('Inspire Day 2'!D9,2)+COUNTIF('Inspire Day 2'!D10,2)+COUNTIF('Inspire Day 2'!D11,2)+COUNTIF('Inspire Day 2'!D12,2)+COUNTIF('Inspire Day 2'!D13,2)+COUNTIF('Inspire Day 2'!D14,2))+3*(COUNTIF('Inspire Day 2'!D5,3)+COUNTIF('Inspire Day 2'!D6,3)+COUNTIF('Inspire Day 2'!D7,3)+COUNTIF('Inspire Day 2'!D8,3)+COUNTIF('Inspire Day 2'!D9,3)+COUNTIF('Inspire Day 2'!D10,3)+COUNTIF('Inspire Day 2'!D11,3)+COUNTIF('Inspire Day 2'!D12,3)+COUNTIF('Inspire Day 2'!D13,3)+COUNTIF('Inspire Day 2'!D14,3))+4*(COUNTIF('Inspire Day 2'!D5,4)+COUNTIF('Inspire Day 2'!D6,4)+COUNTIF('Inspire Day 2'!D7,4)+COUNTIF('Inspire Day 2'!D8,4)+COUNTIF('Inspire Day 2'!D9,4)+COUNTIF('Inspire Day 2'!D10,4)+COUNTIF('Inspire Day 2'!D11,4)+COUNTIF('Inspire Day 2'!D12,4)+COUNTIF('Inspire Day 2'!D13,4)+COUNTIF('Inspire Day 2'!D14,4)))/D23)</x:f>
      </x:c>
      <x:c r="F23" s="3" t="n">
        <x:f>(COUNTIF('Inspire Day 2'!D5,3)+COUNTIF('Inspire Day 2'!D6,3)+COUNTIF('Inspire Day 2'!D7,3)+COUNTIF('Inspire Day 2'!D8,3)+COUNTIF('Inspire Day 2'!D9,3)+COUNTIF('Inspire Day 2'!D10,3)+COUNTIF('Inspire Day 2'!D11,3)+COUNTIF('Inspire Day 2'!D12,3)+COUNTIF('Inspire Day 2'!D13,3)+COUNTIF('Inspire Day 2'!D14,3))</x:f>
        <x:v>0</x:v>
      </x:c>
      <x:c r="G23" s="3" t="n">
        <x:f>(COUNTIF('Inspire Day 2'!D5,4)+COUNTIF('Inspire Day 2'!D6,4)+COUNTIF('Inspire Day 2'!D7,4)+COUNTIF('Inspire Day 2'!D8,4)+COUNTIF('Inspire Day 2'!D9,4)+COUNTIF('Inspire Day 2'!D10,4)+COUNTIF('Inspire Day 2'!D11,4)+COUNTIF('Inspire Day 2'!D12,4)+COUNTIF('Inspire Day 2'!D13,4)+COUNTIF('Inspire Day 2'!D14,4))</x:f>
        <x:v>0</x:v>
      </x:c>
      <x:c r="H23" s="3" t="n">
        <x:f>(COUNTIF('Inspire Day 2'!H5,"Yes")+COUNTIF('Inspire Day 2'!H6,"Yes")+COUNTIF('Inspire Day 2'!H7,"Yes")+COUNTIF('Inspire Day 2'!H8,"Yes")+COUNTIF('Inspire Day 2'!H9,"Yes")+COUNTIF('Inspire Day 2'!H10,"Yes")+COUNTIF('Inspire Day 2'!H11,"Yes")+COUNTIF('Inspire Day 2'!H12,"Yes")+COUNTIF('Inspire Day 2'!H13,"Yes")+COUNTIF('Inspire Day 2'!H14,"Yes"))</x:f>
        <x:v>0</x:v>
      </x:c>
    </x:row>
    <x:row r="24" ht="70" customHeight="1">
      <x:c r="A24" s="3" t="str">
        <x:v>Inspire Grade 3</x:v>
      </x:c>
      <x:c r="B24" s="3" t="n">
        <x:v>2</x:v>
      </x:c>
      <x:c r="C24" s="3" t="str">
        <x:v>Oral health</x:v>
      </x:c>
      <x:c r="D24" s="3" t="n">
        <x:f>(COUNTIF('Inspire Day 2'!D7,1)+COUNTIF('Inspire Day 2'!D8,1))+(COUNTIF('Inspire Day 2'!D7,2)+COUNTIF('Inspire Day 2'!D8,2))+(COUNTIF('Inspire Day 2'!D7,3)+COUNTIF('Inspire Day 2'!D8,3))+(COUNTIF('Inspire Day 2'!D7,4)+COUNTIF('Inspire Day 2'!D8,4))</x:f>
        <x:v>0</x:v>
      </x:c>
      <x:c r="E24" s="13" t="str">
        <x:f>IF(D24=0,"",(1*(COUNTIF('Inspire Day 2'!D7,1)+COUNTIF('Inspire Day 2'!D8,1))+2*(COUNTIF('Inspire Day 2'!D7,2)+COUNTIF('Inspire Day 2'!D8,2))+3*(COUNTIF('Inspire Day 2'!D7,3)+COUNTIF('Inspire Day 2'!D8,3))+4*(COUNTIF('Inspire Day 2'!D7,4)+COUNTIF('Inspire Day 2'!D8,4)))/D24)</x:f>
      </x:c>
      <x:c r="F24" s="3" t="n">
        <x:f>(COUNTIF('Inspire Day 2'!D7,3)+COUNTIF('Inspire Day 2'!D8,3))</x:f>
        <x:v>0</x:v>
      </x:c>
      <x:c r="G24" s="3" t="n">
        <x:f>(COUNTIF('Inspire Day 2'!D7,4)+COUNTIF('Inspire Day 2'!D8,4))</x:f>
        <x:v>0</x:v>
      </x:c>
      <x:c r="H24" s="3" t="n">
        <x:f>(COUNTIF('Inspire Day 2'!H7,"Yes")+COUNTIF('Inspire Day 2'!H8,"Yes"))</x:f>
        <x:v>0</x:v>
      </x:c>
    </x:row>
    <x:row r="25" ht="70" customHeight="1">
      <x:c r="A25" s="3" t="str">
        <x:v>Inspire Grade 3</x:v>
      </x:c>
      <x:c r="B25" s="3" t="n">
        <x:v>2</x:v>
      </x:c>
      <x:c r="C25" s="3" t="str">
        <x:v>Personal safety</x:v>
      </x:c>
      <x:c r="D25" s="3" t="n">
        <x:f>(COUNTIF('Inspire Day 2'!D9,1)+COUNTIF('Inspire Day 2'!D10,1)+COUNTIF('Inspire Day 2'!D11,1)+COUNTIF('Inspire Day 2'!D14,1))+(COUNTIF('Inspire Day 2'!D9,2)+COUNTIF('Inspire Day 2'!D10,2)+COUNTIF('Inspire Day 2'!D11,2)+COUNTIF('Inspire Day 2'!D14,2))+(COUNTIF('Inspire Day 2'!D9,3)+COUNTIF('Inspire Day 2'!D10,3)+COUNTIF('Inspire Day 2'!D11,3)+COUNTIF('Inspire Day 2'!D14,3))+(COUNTIF('Inspire Day 2'!D9,4)+COUNTIF('Inspire Day 2'!D10,4)+COUNTIF('Inspire Day 2'!D11,4)+COUNTIF('Inspire Day 2'!D14,4))</x:f>
        <x:v>0</x:v>
      </x:c>
      <x:c r="E25" s="13" t="str">
        <x:f>IF(D25=0,"",(1*(COUNTIF('Inspire Day 2'!D9,1)+COUNTIF('Inspire Day 2'!D10,1)+COUNTIF('Inspire Day 2'!D11,1)+COUNTIF('Inspire Day 2'!D14,1))+2*(COUNTIF('Inspire Day 2'!D9,2)+COUNTIF('Inspire Day 2'!D10,2)+COUNTIF('Inspire Day 2'!D11,2)+COUNTIF('Inspire Day 2'!D14,2))+3*(COUNTIF('Inspire Day 2'!D9,3)+COUNTIF('Inspire Day 2'!D10,3)+COUNTIF('Inspire Day 2'!D11,3)+COUNTIF('Inspire Day 2'!D14,3))+4*(COUNTIF('Inspire Day 2'!D9,4)+COUNTIF('Inspire Day 2'!D10,4)+COUNTIF('Inspire Day 2'!D11,4)+COUNTIF('Inspire Day 2'!D14,4)))/D25)</x:f>
      </x:c>
      <x:c r="F25" s="3" t="n">
        <x:f>(COUNTIF('Inspire Day 2'!D9,3)+COUNTIF('Inspire Day 2'!D10,3)+COUNTIF('Inspire Day 2'!D11,3)+COUNTIF('Inspire Day 2'!D14,3))</x:f>
        <x:v>0</x:v>
      </x:c>
      <x:c r="G25" s="3" t="n">
        <x:f>(COUNTIF('Inspire Day 2'!D9,4)+COUNTIF('Inspire Day 2'!D10,4)+COUNTIF('Inspire Day 2'!D11,4)+COUNTIF('Inspire Day 2'!D14,4))</x:f>
        <x:v>0</x:v>
      </x:c>
      <x:c r="H25" s="3" t="n">
        <x:f>(COUNTIF('Inspire Day 2'!H9,"Yes")+COUNTIF('Inspire Day 2'!H10,"Yes")+COUNTIF('Inspire Day 2'!H11,"Yes")+COUNTIF('Inspire Day 2'!H14,"Yes"))</x:f>
        <x:v>0</x:v>
      </x:c>
    </x:row>
    <x:row r="26" ht="70" customHeight="1">
      <x:c r="A26" s="3" t="str">
        <x:v>Inspire Grade 3</x:v>
      </x:c>
      <x:c r="B26" s="3" t="n">
        <x:v>3</x:v>
      </x:c>
      <x:c r="C26" s="3" t="str">
        <x:v>Health</x:v>
      </x:c>
      <x:c r="D26" s="3" t="n">
        <x:f>(COUNTIF('Inspire Day 3'!D5,1)+COUNTIF('Inspire Day 3'!D6,1)+COUNTIF('Inspire Day 3'!D7,1)+COUNTIF('Inspire Day 3'!D8,1)+COUNTIF('Inspire Day 3'!D9,1)+COUNTIF('Inspire Day 3'!D10,1)+COUNTIF('Inspire Day 3'!D11,1)+COUNTIF('Inspire Day 3'!D12,1)+COUNTIF('Inspire Day 3'!D13,1)+COUNTIF('Inspire Day 3'!D14,1))+(COUNTIF('Inspire Day 3'!D5,2)+COUNTIF('Inspire Day 3'!D6,2)+COUNTIF('Inspire Day 3'!D7,2)+COUNTIF('Inspire Day 3'!D8,2)+COUNTIF('Inspire Day 3'!D9,2)+COUNTIF('Inspire Day 3'!D10,2)+COUNTIF('Inspire Day 3'!D11,2)+COUNTIF('Inspire Day 3'!D12,2)+COUNTIF('Inspire Day 3'!D13,2)+COUNTIF('Inspire Day 3'!D14,2))+(COUNTIF('Inspire Day 3'!D5,3)+COUNTIF('Inspire Day 3'!D6,3)+COUNTIF('Inspire Day 3'!D7,3)+COUNTIF('Inspire Day 3'!D8,3)+COUNTIF('Inspire Day 3'!D9,3)+COUNTIF('Inspire Day 3'!D10,3)+COUNTIF('Inspire Day 3'!D11,3)+COUNTIF('Inspire Day 3'!D12,3)+COUNTIF('Inspire Day 3'!D13,3)+COUNTIF('Inspire Day 3'!D14,3))+(COUNTIF('Inspire Day 3'!D5,4)+COUNTIF('Inspire Day 3'!D6,4)+COUNTIF('Inspire Day 3'!D7,4)+COUNTIF('Inspire Day 3'!D8,4)+COUNTIF('Inspire Day 3'!D9,4)+COUNTIF('Inspire Day 3'!D10,4)+COUNTIF('Inspire Day 3'!D11,4)+COUNTIF('Inspire Day 3'!D12,4)+COUNTIF('Inspire Day 3'!D13,4)+COUNTIF('Inspire Day 3'!D14,4))</x:f>
        <x:v>0</x:v>
      </x:c>
      <x:c r="E26" s="13" t="str">
        <x:f>IF(D26=0,"",(1*(COUNTIF('Inspire Day 3'!D5,1)+COUNTIF('Inspire Day 3'!D6,1)+COUNTIF('Inspire Day 3'!D7,1)+COUNTIF('Inspire Day 3'!D8,1)+COUNTIF('Inspire Day 3'!D9,1)+COUNTIF('Inspire Day 3'!D10,1)+COUNTIF('Inspire Day 3'!D11,1)+COUNTIF('Inspire Day 3'!D12,1)+COUNTIF('Inspire Day 3'!D13,1)+COUNTIF('Inspire Day 3'!D14,1))+2*(COUNTIF('Inspire Day 3'!D5,2)+COUNTIF('Inspire Day 3'!D6,2)+COUNTIF('Inspire Day 3'!D7,2)+COUNTIF('Inspire Day 3'!D8,2)+COUNTIF('Inspire Day 3'!D9,2)+COUNTIF('Inspire Day 3'!D10,2)+COUNTIF('Inspire Day 3'!D11,2)+COUNTIF('Inspire Day 3'!D12,2)+COUNTIF('Inspire Day 3'!D13,2)+COUNTIF('Inspire Day 3'!D14,2))+3*(COUNTIF('Inspire Day 3'!D5,3)+COUNTIF('Inspire Day 3'!D6,3)+COUNTIF('Inspire Day 3'!D7,3)+COUNTIF('Inspire Day 3'!D8,3)+COUNTIF('Inspire Day 3'!D9,3)+COUNTIF('Inspire Day 3'!D10,3)+COUNTIF('Inspire Day 3'!D11,3)+COUNTIF('Inspire Day 3'!D12,3)+COUNTIF('Inspire Day 3'!D13,3)+COUNTIF('Inspire Day 3'!D14,3))+4*(COUNTIF('Inspire Day 3'!D5,4)+COUNTIF('Inspire Day 3'!D6,4)+COUNTIF('Inspire Day 3'!D7,4)+COUNTIF('Inspire Day 3'!D8,4)+COUNTIF('Inspire Day 3'!D9,4)+COUNTIF('Inspire Day 3'!D10,4)+COUNTIF('Inspire Day 3'!D11,4)+COUNTIF('Inspire Day 3'!D12,4)+COUNTIF('Inspire Day 3'!D13,4)+COUNTIF('Inspire Day 3'!D14,4)))/D26)</x:f>
      </x:c>
      <x:c r="F26" s="3" t="n">
        <x:f>(COUNTIF('Inspire Day 3'!D5,3)+COUNTIF('Inspire Day 3'!D6,3)+COUNTIF('Inspire Day 3'!D7,3)+COUNTIF('Inspire Day 3'!D8,3)+COUNTIF('Inspire Day 3'!D9,3)+COUNTIF('Inspire Day 3'!D10,3)+COUNTIF('Inspire Day 3'!D11,3)+COUNTIF('Inspire Day 3'!D12,3)+COUNTIF('Inspire Day 3'!D13,3)+COUNTIF('Inspire Day 3'!D14,3))</x:f>
        <x:v>0</x:v>
      </x:c>
      <x:c r="G26" s="3" t="n">
        <x:f>(COUNTIF('Inspire Day 3'!D5,4)+COUNTIF('Inspire Day 3'!D6,4)+COUNTIF('Inspire Day 3'!D7,4)+COUNTIF('Inspire Day 3'!D8,4)+COUNTIF('Inspire Day 3'!D9,4)+COUNTIF('Inspire Day 3'!D10,4)+COUNTIF('Inspire Day 3'!D11,4)+COUNTIF('Inspire Day 3'!D12,4)+COUNTIF('Inspire Day 3'!D13,4)+COUNTIF('Inspire Day 3'!D14,4))</x:f>
        <x:v>0</x:v>
      </x:c>
      <x:c r="H26" s="3" t="n">
        <x:f>(COUNTIF('Inspire Day 3'!H5,"Yes")+COUNTIF('Inspire Day 3'!H6,"Yes")+COUNTIF('Inspire Day 3'!H7,"Yes")+COUNTIF('Inspire Day 3'!H8,"Yes")+COUNTIF('Inspire Day 3'!H9,"Yes")+COUNTIF('Inspire Day 3'!H10,"Yes")+COUNTIF('Inspire Day 3'!H11,"Yes")+COUNTIF('Inspire Day 3'!H12,"Yes")+COUNTIF('Inspire Day 3'!H13,"Yes")+COUNTIF('Inspire Day 3'!H14,"Yes"))</x:f>
        <x:v>0</x:v>
      </x:c>
    </x:row>
    <x:row r="27" ht="70" customHeight="1">
      <x:c r="A27" s="3" t="str">
        <x:v>Inspire Grade 3</x:v>
      </x:c>
      <x:c r="B27" s="3" t="n">
        <x:v>3</x:v>
      </x:c>
      <x:c r="C27" s="3" t="str">
        <x:v>Oral health</x:v>
      </x:c>
      <x:c r="D27" s="3" t="n">
        <x:f>(COUNTIF('Inspire Day 3'!D7,1)+COUNTIF('Inspire Day 3'!D8,1))+(COUNTIF('Inspire Day 3'!D7,2)+COUNTIF('Inspire Day 3'!D8,2))+(COUNTIF('Inspire Day 3'!D7,3)+COUNTIF('Inspire Day 3'!D8,3))+(COUNTIF('Inspire Day 3'!D7,4)+COUNTIF('Inspire Day 3'!D8,4))</x:f>
        <x:v>0</x:v>
      </x:c>
      <x:c r="E27" s="13" t="str">
        <x:f>IF(D27=0,"",(1*(COUNTIF('Inspire Day 3'!D7,1)+COUNTIF('Inspire Day 3'!D8,1))+2*(COUNTIF('Inspire Day 3'!D7,2)+COUNTIF('Inspire Day 3'!D8,2))+3*(COUNTIF('Inspire Day 3'!D7,3)+COUNTIF('Inspire Day 3'!D8,3))+4*(COUNTIF('Inspire Day 3'!D7,4)+COUNTIF('Inspire Day 3'!D8,4)))/D27)</x:f>
      </x:c>
      <x:c r="F27" s="3" t="n">
        <x:f>(COUNTIF('Inspire Day 3'!D7,3)+COUNTIF('Inspire Day 3'!D8,3))</x:f>
        <x:v>0</x:v>
      </x:c>
      <x:c r="G27" s="3" t="n">
        <x:f>(COUNTIF('Inspire Day 3'!D7,4)+COUNTIF('Inspire Day 3'!D8,4))</x:f>
        <x:v>0</x:v>
      </x:c>
      <x:c r="H27" s="3" t="n">
        <x:f>(COUNTIF('Inspire Day 3'!H7,"Yes")+COUNTIF('Inspire Day 3'!H8,"Yes"))</x:f>
        <x:v>0</x:v>
      </x:c>
    </x:row>
    <x:row r="28" ht="70" customHeight="1">
      <x:c r="A28" s="3" t="str">
        <x:v>Inspire Grade 3</x:v>
      </x:c>
      <x:c r="B28" s="3" t="n">
        <x:v>3</x:v>
      </x:c>
      <x:c r="C28" s="3" t="str">
        <x:v>Personal safety</x:v>
      </x:c>
      <x:c r="D28" s="3" t="n">
        <x:f>(COUNTIF('Inspire Day 3'!D9,1)+COUNTIF('Inspire Day 3'!D10,1)+COUNTIF('Inspire Day 3'!D11,1)+COUNTIF('Inspire Day 3'!D14,1))+(COUNTIF('Inspire Day 3'!D9,2)+COUNTIF('Inspire Day 3'!D10,2)+COUNTIF('Inspire Day 3'!D11,2)+COUNTIF('Inspire Day 3'!D14,2))+(COUNTIF('Inspire Day 3'!D9,3)+COUNTIF('Inspire Day 3'!D10,3)+COUNTIF('Inspire Day 3'!D11,3)+COUNTIF('Inspire Day 3'!D14,3))+(COUNTIF('Inspire Day 3'!D9,4)+COUNTIF('Inspire Day 3'!D10,4)+COUNTIF('Inspire Day 3'!D11,4)+COUNTIF('Inspire Day 3'!D14,4))</x:f>
        <x:v>0</x:v>
      </x:c>
      <x:c r="E28" s="13" t="str">
        <x:f>IF(D28=0,"",(1*(COUNTIF('Inspire Day 3'!D9,1)+COUNTIF('Inspire Day 3'!D10,1)+COUNTIF('Inspire Day 3'!D11,1)+COUNTIF('Inspire Day 3'!D14,1))+2*(COUNTIF('Inspire Day 3'!D9,2)+COUNTIF('Inspire Day 3'!D10,2)+COUNTIF('Inspire Day 3'!D11,2)+COUNTIF('Inspire Day 3'!D14,2))+3*(COUNTIF('Inspire Day 3'!D9,3)+COUNTIF('Inspire Day 3'!D10,3)+COUNTIF('Inspire Day 3'!D11,3)+COUNTIF('Inspire Day 3'!D14,3))+4*(COUNTIF('Inspire Day 3'!D9,4)+COUNTIF('Inspire Day 3'!D10,4)+COUNTIF('Inspire Day 3'!D11,4)+COUNTIF('Inspire Day 3'!D14,4)))/D28)</x:f>
      </x:c>
      <x:c r="F28" s="3" t="n">
        <x:f>(COUNTIF('Inspire Day 3'!D9,3)+COUNTIF('Inspire Day 3'!D10,3)+COUNTIF('Inspire Day 3'!D11,3)+COUNTIF('Inspire Day 3'!D14,3))</x:f>
        <x:v>0</x:v>
      </x:c>
      <x:c r="G28" s="3" t="n">
        <x:f>(COUNTIF('Inspire Day 3'!D9,4)+COUNTIF('Inspire Day 3'!D10,4)+COUNTIF('Inspire Day 3'!D11,4)+COUNTIF('Inspire Day 3'!D14,4))</x:f>
        <x:v>0</x:v>
      </x:c>
      <x:c r="H28" s="3" t="n">
        <x:f>(COUNTIF('Inspire Day 3'!H9,"Yes")+COUNTIF('Inspire Day 3'!H10,"Yes")+COUNTIF('Inspire Day 3'!H11,"Yes")+COUNTIF('Inspire Day 3'!H14,"Yes"))</x:f>
        <x:v>0</x:v>
      </x:c>
    </x:row>
    <x:row r="29" ht="70" customHeight="1">
      <x:c r="A29" s="3" t="str">
        <x:v>Inspire Grade 3</x:v>
      </x:c>
      <x:c r="B29" s="3" t="n">
        <x:v>4</x:v>
      </x:c>
      <x:c r="C29" s="3" t="str">
        <x:v>Health</x:v>
      </x:c>
      <x:c r="D29" s="3" t="n">
        <x:f>(COUNTIF('Inspire Day 4'!D5,1)+COUNTIF('Inspire Day 4'!D6,1)+COUNTIF('Inspire Day 4'!D7,1)+COUNTIF('Inspire Day 4'!D8,1)+COUNTIF('Inspire Day 4'!D9,1)+COUNTIF('Inspire Day 4'!D10,1)+COUNTIF('Inspire Day 4'!D11,1)+COUNTIF('Inspire Day 4'!D12,1)+COUNTIF('Inspire Day 4'!D13,1)+COUNTIF('Inspire Day 4'!D14,1))+(COUNTIF('Inspire Day 4'!D5,2)+COUNTIF('Inspire Day 4'!D6,2)+COUNTIF('Inspire Day 4'!D7,2)+COUNTIF('Inspire Day 4'!D8,2)+COUNTIF('Inspire Day 4'!D9,2)+COUNTIF('Inspire Day 4'!D10,2)+COUNTIF('Inspire Day 4'!D11,2)+COUNTIF('Inspire Day 4'!D12,2)+COUNTIF('Inspire Day 4'!D13,2)+COUNTIF('Inspire Day 4'!D14,2))+(COUNTIF('Inspire Day 4'!D5,3)+COUNTIF('Inspire Day 4'!D6,3)+COUNTIF('Inspire Day 4'!D7,3)+COUNTIF('Inspire Day 4'!D8,3)+COUNTIF('Inspire Day 4'!D9,3)+COUNTIF('Inspire Day 4'!D10,3)+COUNTIF('Inspire Day 4'!D11,3)+COUNTIF('Inspire Day 4'!D12,3)+COUNTIF('Inspire Day 4'!D13,3)+COUNTIF('Inspire Day 4'!D14,3))+(COUNTIF('Inspire Day 4'!D5,4)+COUNTIF('Inspire Day 4'!D6,4)+COUNTIF('Inspire Day 4'!D7,4)+COUNTIF('Inspire Day 4'!D8,4)+COUNTIF('Inspire Day 4'!D9,4)+COUNTIF('Inspire Day 4'!D10,4)+COUNTIF('Inspire Day 4'!D11,4)+COUNTIF('Inspire Day 4'!D12,4)+COUNTIF('Inspire Day 4'!D13,4)+COUNTIF('Inspire Day 4'!D14,4))</x:f>
        <x:v>0</x:v>
      </x:c>
      <x:c r="E29" s="13" t="str">
        <x:f>IF(D29=0,"",(1*(COUNTIF('Inspire Day 4'!D5,1)+COUNTIF('Inspire Day 4'!D6,1)+COUNTIF('Inspire Day 4'!D7,1)+COUNTIF('Inspire Day 4'!D8,1)+COUNTIF('Inspire Day 4'!D9,1)+COUNTIF('Inspire Day 4'!D10,1)+COUNTIF('Inspire Day 4'!D11,1)+COUNTIF('Inspire Day 4'!D12,1)+COUNTIF('Inspire Day 4'!D13,1)+COUNTIF('Inspire Day 4'!D14,1))+2*(COUNTIF('Inspire Day 4'!D5,2)+COUNTIF('Inspire Day 4'!D6,2)+COUNTIF('Inspire Day 4'!D7,2)+COUNTIF('Inspire Day 4'!D8,2)+COUNTIF('Inspire Day 4'!D9,2)+COUNTIF('Inspire Day 4'!D10,2)+COUNTIF('Inspire Day 4'!D11,2)+COUNTIF('Inspire Day 4'!D12,2)+COUNTIF('Inspire Day 4'!D13,2)+COUNTIF('Inspire Day 4'!D14,2))+3*(COUNTIF('Inspire Day 4'!D5,3)+COUNTIF('Inspire Day 4'!D6,3)+COUNTIF('Inspire Day 4'!D7,3)+COUNTIF('Inspire Day 4'!D8,3)+COUNTIF('Inspire Day 4'!D9,3)+COUNTIF('Inspire Day 4'!D10,3)+COUNTIF('Inspire Day 4'!D11,3)+COUNTIF('Inspire Day 4'!D12,3)+COUNTIF('Inspire Day 4'!D13,3)+COUNTIF('Inspire Day 4'!D14,3))+4*(COUNTIF('Inspire Day 4'!D5,4)+COUNTIF('Inspire Day 4'!D6,4)+COUNTIF('Inspire Day 4'!D7,4)+COUNTIF('Inspire Day 4'!D8,4)+COUNTIF('Inspire Day 4'!D9,4)+COUNTIF('Inspire Day 4'!D10,4)+COUNTIF('Inspire Day 4'!D11,4)+COUNTIF('Inspire Day 4'!D12,4)+COUNTIF('Inspire Day 4'!D13,4)+COUNTIF('Inspire Day 4'!D14,4)))/D29)</x:f>
      </x:c>
      <x:c r="F29" s="3" t="n">
        <x:f>(COUNTIF('Inspire Day 4'!D5,3)+COUNTIF('Inspire Day 4'!D6,3)+COUNTIF('Inspire Day 4'!D7,3)+COUNTIF('Inspire Day 4'!D8,3)+COUNTIF('Inspire Day 4'!D9,3)+COUNTIF('Inspire Day 4'!D10,3)+COUNTIF('Inspire Day 4'!D11,3)+COUNTIF('Inspire Day 4'!D12,3)+COUNTIF('Inspire Day 4'!D13,3)+COUNTIF('Inspire Day 4'!D14,3))</x:f>
        <x:v>0</x:v>
      </x:c>
      <x:c r="G29" s="3" t="n">
        <x:f>(COUNTIF('Inspire Day 4'!D5,4)+COUNTIF('Inspire Day 4'!D6,4)+COUNTIF('Inspire Day 4'!D7,4)+COUNTIF('Inspire Day 4'!D8,4)+COUNTIF('Inspire Day 4'!D9,4)+COUNTIF('Inspire Day 4'!D10,4)+COUNTIF('Inspire Day 4'!D11,4)+COUNTIF('Inspire Day 4'!D12,4)+COUNTIF('Inspire Day 4'!D13,4)+COUNTIF('Inspire Day 4'!D14,4))</x:f>
        <x:v>0</x:v>
      </x:c>
      <x:c r="H29" s="3" t="n">
        <x:f>(COUNTIF('Inspire Day 4'!H5,"Yes")+COUNTIF('Inspire Day 4'!H6,"Yes")+COUNTIF('Inspire Day 4'!H7,"Yes")+COUNTIF('Inspire Day 4'!H8,"Yes")+COUNTIF('Inspire Day 4'!H9,"Yes")+COUNTIF('Inspire Day 4'!H10,"Yes")+COUNTIF('Inspire Day 4'!H11,"Yes")+COUNTIF('Inspire Day 4'!H12,"Yes")+COUNTIF('Inspire Day 4'!H13,"Yes")+COUNTIF('Inspire Day 4'!H14,"Yes"))</x:f>
        <x:v>0</x:v>
      </x:c>
    </x:row>
    <x:row r="30" ht="70" customHeight="1">
      <x:c r="A30" s="3" t="str">
        <x:v>Inspire Grade 3</x:v>
      </x:c>
      <x:c r="B30" s="3" t="n">
        <x:v>4</x:v>
      </x:c>
      <x:c r="C30" s="3" t="str">
        <x:v>Oral health</x:v>
      </x:c>
      <x:c r="D30" s="3" t="n">
        <x:f>(COUNTIF('Inspire Day 4'!D7,1)+COUNTIF('Inspire Day 4'!D8,1))+(COUNTIF('Inspire Day 4'!D7,2)+COUNTIF('Inspire Day 4'!D8,2))+(COUNTIF('Inspire Day 4'!D7,3)+COUNTIF('Inspire Day 4'!D8,3))+(COUNTIF('Inspire Day 4'!D7,4)+COUNTIF('Inspire Day 4'!D8,4))</x:f>
        <x:v>0</x:v>
      </x:c>
      <x:c r="E30" s="13" t="str">
        <x:f>IF(D30=0,"",(1*(COUNTIF('Inspire Day 4'!D7,1)+COUNTIF('Inspire Day 4'!D8,1))+2*(COUNTIF('Inspire Day 4'!D7,2)+COUNTIF('Inspire Day 4'!D8,2))+3*(COUNTIF('Inspire Day 4'!D7,3)+COUNTIF('Inspire Day 4'!D8,3))+4*(COUNTIF('Inspire Day 4'!D7,4)+COUNTIF('Inspire Day 4'!D8,4)))/D30)</x:f>
      </x:c>
      <x:c r="F30" s="3" t="n">
        <x:f>(COUNTIF('Inspire Day 4'!D7,3)+COUNTIF('Inspire Day 4'!D8,3))</x:f>
        <x:v>0</x:v>
      </x:c>
      <x:c r="G30" s="3" t="n">
        <x:f>(COUNTIF('Inspire Day 4'!D7,4)+COUNTIF('Inspire Day 4'!D8,4))</x:f>
        <x:v>0</x:v>
      </x:c>
      <x:c r="H30" s="3" t="n">
        <x:f>(COUNTIF('Inspire Day 4'!H7,"Yes")+COUNTIF('Inspire Day 4'!H8,"Yes"))</x:f>
        <x:v>0</x:v>
      </x:c>
    </x:row>
    <x:row r="31" ht="70" customHeight="1">
      <x:c r="A31" s="3" t="str">
        <x:v>Inspire Grade 3</x:v>
      </x:c>
      <x:c r="B31" s="3" t="n">
        <x:v>4</x:v>
      </x:c>
      <x:c r="C31" s="3" t="str">
        <x:v>Personal safety</x:v>
      </x:c>
      <x:c r="D31" s="3" t="n">
        <x:f>(COUNTIF('Inspire Day 4'!D9,1)+COUNTIF('Inspire Day 4'!D10,1)+COUNTIF('Inspire Day 4'!D11,1)+COUNTIF('Inspire Day 4'!D14,1))+(COUNTIF('Inspire Day 4'!D9,2)+COUNTIF('Inspire Day 4'!D10,2)+COUNTIF('Inspire Day 4'!D11,2)+COUNTIF('Inspire Day 4'!D14,2))+(COUNTIF('Inspire Day 4'!D9,3)+COUNTIF('Inspire Day 4'!D10,3)+COUNTIF('Inspire Day 4'!D11,3)+COUNTIF('Inspire Day 4'!D14,3))+(COUNTIF('Inspire Day 4'!D9,4)+COUNTIF('Inspire Day 4'!D10,4)+COUNTIF('Inspire Day 4'!D11,4)+COUNTIF('Inspire Day 4'!D14,4))</x:f>
        <x:v>0</x:v>
      </x:c>
      <x:c r="E31" s="13" t="str">
        <x:f>IF(D31=0,"",(1*(COUNTIF('Inspire Day 4'!D9,1)+COUNTIF('Inspire Day 4'!D10,1)+COUNTIF('Inspire Day 4'!D11,1)+COUNTIF('Inspire Day 4'!D14,1))+2*(COUNTIF('Inspire Day 4'!D9,2)+COUNTIF('Inspire Day 4'!D10,2)+COUNTIF('Inspire Day 4'!D11,2)+COUNTIF('Inspire Day 4'!D14,2))+3*(COUNTIF('Inspire Day 4'!D9,3)+COUNTIF('Inspire Day 4'!D10,3)+COUNTIF('Inspire Day 4'!D11,3)+COUNTIF('Inspire Day 4'!D14,3))+4*(COUNTIF('Inspire Day 4'!D9,4)+COUNTIF('Inspire Day 4'!D10,4)+COUNTIF('Inspire Day 4'!D11,4)+COUNTIF('Inspire Day 4'!D14,4)))/D31)</x:f>
      </x:c>
      <x:c r="F31" s="3" t="n">
        <x:f>(COUNTIF('Inspire Day 4'!D9,3)+COUNTIF('Inspire Day 4'!D10,3)+COUNTIF('Inspire Day 4'!D11,3)+COUNTIF('Inspire Day 4'!D14,3))</x:f>
        <x:v>0</x:v>
      </x:c>
      <x:c r="G31" s="3" t="n">
        <x:f>(COUNTIF('Inspire Day 4'!D9,4)+COUNTIF('Inspire Day 4'!D10,4)+COUNTIF('Inspire Day 4'!D11,4)+COUNTIF('Inspire Day 4'!D14,4))</x:f>
        <x:v>0</x:v>
      </x:c>
      <x:c r="H31" s="3" t="n">
        <x:f>(COUNTIF('Inspire Day 4'!H9,"Yes")+COUNTIF('Inspire Day 4'!H10,"Yes")+COUNTIF('Inspire Day 4'!H11,"Yes")+COUNTIF('Inspire Day 4'!H14,"Yes"))</x:f>
        <x:v>0</x:v>
      </x:c>
    </x:row>
    <x:row r="32" ht="70" customHeight="1">
      <x:c r="A32" s="3" t="str">
        <x:v>Inspire Grade 3</x:v>
      </x:c>
      <x:c r="B32" s="3" t="n">
        <x:v>5</x:v>
      </x:c>
      <x:c r="C32" s="3" t="str">
        <x:v>Health</x:v>
      </x:c>
      <x:c r="D32" s="3" t="n">
        <x:f>(COUNTIF('Inspire Day 5'!D5,1)+COUNTIF('Inspire Day 5'!D6,1)+COUNTIF('Inspire Day 5'!D7,1)+COUNTIF('Inspire Day 5'!D8,1)+COUNTIF('Inspire Day 5'!D9,1)+COUNTIF('Inspire Day 5'!D10,1)+COUNTIF('Inspire Day 5'!D11,1)+COUNTIF('Inspire Day 5'!D12,1)+COUNTIF('Inspire Day 5'!D13,1)+COUNTIF('Inspire Day 5'!D14,1))+(COUNTIF('Inspire Day 5'!D5,2)+COUNTIF('Inspire Day 5'!D6,2)+COUNTIF('Inspire Day 5'!D7,2)+COUNTIF('Inspire Day 5'!D8,2)+COUNTIF('Inspire Day 5'!D9,2)+COUNTIF('Inspire Day 5'!D10,2)+COUNTIF('Inspire Day 5'!D11,2)+COUNTIF('Inspire Day 5'!D12,2)+COUNTIF('Inspire Day 5'!D13,2)+COUNTIF('Inspire Day 5'!D14,2))+(COUNTIF('Inspire Day 5'!D5,3)+COUNTIF('Inspire Day 5'!D6,3)+COUNTIF('Inspire Day 5'!D7,3)+COUNTIF('Inspire Day 5'!D8,3)+COUNTIF('Inspire Day 5'!D9,3)+COUNTIF('Inspire Day 5'!D10,3)+COUNTIF('Inspire Day 5'!D11,3)+COUNTIF('Inspire Day 5'!D12,3)+COUNTIF('Inspire Day 5'!D13,3)+COUNTIF('Inspire Day 5'!D14,3))+(COUNTIF('Inspire Day 5'!D5,4)+COUNTIF('Inspire Day 5'!D6,4)+COUNTIF('Inspire Day 5'!D7,4)+COUNTIF('Inspire Day 5'!D8,4)+COUNTIF('Inspire Day 5'!D9,4)+COUNTIF('Inspire Day 5'!D10,4)+COUNTIF('Inspire Day 5'!D11,4)+COUNTIF('Inspire Day 5'!D12,4)+COUNTIF('Inspire Day 5'!D13,4)+COUNTIF('Inspire Day 5'!D14,4))</x:f>
        <x:v>0</x:v>
      </x:c>
      <x:c r="E32" s="13" t="str">
        <x:f>IF(D32=0,"",(1*(COUNTIF('Inspire Day 5'!D5,1)+COUNTIF('Inspire Day 5'!D6,1)+COUNTIF('Inspire Day 5'!D7,1)+COUNTIF('Inspire Day 5'!D8,1)+COUNTIF('Inspire Day 5'!D9,1)+COUNTIF('Inspire Day 5'!D10,1)+COUNTIF('Inspire Day 5'!D11,1)+COUNTIF('Inspire Day 5'!D12,1)+COUNTIF('Inspire Day 5'!D13,1)+COUNTIF('Inspire Day 5'!D14,1))+2*(COUNTIF('Inspire Day 5'!D5,2)+COUNTIF('Inspire Day 5'!D6,2)+COUNTIF('Inspire Day 5'!D7,2)+COUNTIF('Inspire Day 5'!D8,2)+COUNTIF('Inspire Day 5'!D9,2)+COUNTIF('Inspire Day 5'!D10,2)+COUNTIF('Inspire Day 5'!D11,2)+COUNTIF('Inspire Day 5'!D12,2)+COUNTIF('Inspire Day 5'!D13,2)+COUNTIF('Inspire Day 5'!D14,2))+3*(COUNTIF('Inspire Day 5'!D5,3)+COUNTIF('Inspire Day 5'!D6,3)+COUNTIF('Inspire Day 5'!D7,3)+COUNTIF('Inspire Day 5'!D8,3)+COUNTIF('Inspire Day 5'!D9,3)+COUNTIF('Inspire Day 5'!D10,3)+COUNTIF('Inspire Day 5'!D11,3)+COUNTIF('Inspire Day 5'!D12,3)+COUNTIF('Inspire Day 5'!D13,3)+COUNTIF('Inspire Day 5'!D14,3))+4*(COUNTIF('Inspire Day 5'!D5,4)+COUNTIF('Inspire Day 5'!D6,4)+COUNTIF('Inspire Day 5'!D7,4)+COUNTIF('Inspire Day 5'!D8,4)+COUNTIF('Inspire Day 5'!D9,4)+COUNTIF('Inspire Day 5'!D10,4)+COUNTIF('Inspire Day 5'!D11,4)+COUNTIF('Inspire Day 5'!D12,4)+COUNTIF('Inspire Day 5'!D13,4)+COUNTIF('Inspire Day 5'!D14,4)))/D32)</x:f>
      </x:c>
      <x:c r="F32" s="3" t="n">
        <x:f>(COUNTIF('Inspire Day 5'!D5,3)+COUNTIF('Inspire Day 5'!D6,3)+COUNTIF('Inspire Day 5'!D7,3)+COUNTIF('Inspire Day 5'!D8,3)+COUNTIF('Inspire Day 5'!D9,3)+COUNTIF('Inspire Day 5'!D10,3)+COUNTIF('Inspire Day 5'!D11,3)+COUNTIF('Inspire Day 5'!D12,3)+COUNTIF('Inspire Day 5'!D13,3)+COUNTIF('Inspire Day 5'!D14,3))</x:f>
        <x:v>0</x:v>
      </x:c>
      <x:c r="G32" s="3" t="n">
        <x:f>(COUNTIF('Inspire Day 5'!D5,4)+COUNTIF('Inspire Day 5'!D6,4)+COUNTIF('Inspire Day 5'!D7,4)+COUNTIF('Inspire Day 5'!D8,4)+COUNTIF('Inspire Day 5'!D9,4)+COUNTIF('Inspire Day 5'!D10,4)+COUNTIF('Inspire Day 5'!D11,4)+COUNTIF('Inspire Day 5'!D12,4)+COUNTIF('Inspire Day 5'!D13,4)+COUNTIF('Inspire Day 5'!D14,4))</x:f>
        <x:v>0</x:v>
      </x:c>
      <x:c r="H32" s="3" t="n">
        <x:f>(COUNTIF('Inspire Day 5'!H5,"Yes")+COUNTIF('Inspire Day 5'!H6,"Yes")+COUNTIF('Inspire Day 5'!H7,"Yes")+COUNTIF('Inspire Day 5'!H8,"Yes")+COUNTIF('Inspire Day 5'!H9,"Yes")+COUNTIF('Inspire Day 5'!H10,"Yes")+COUNTIF('Inspire Day 5'!H11,"Yes")+COUNTIF('Inspire Day 5'!H12,"Yes")+COUNTIF('Inspire Day 5'!H13,"Yes")+COUNTIF('Inspire Day 5'!H14,"Yes"))</x:f>
        <x:v>0</x:v>
      </x:c>
    </x:row>
    <x:row r="33" ht="70" customHeight="1">
      <x:c r="A33" s="3" t="str">
        <x:v>Inspire Grade 3</x:v>
      </x:c>
      <x:c r="B33" s="3" t="n">
        <x:v>5</x:v>
      </x:c>
      <x:c r="C33" s="3" t="str">
        <x:v>Oral health</x:v>
      </x:c>
      <x:c r="D33" s="3" t="n">
        <x:f>(COUNTIF('Inspire Day 5'!D7,1)+COUNTIF('Inspire Day 5'!D8,1))+(COUNTIF('Inspire Day 5'!D7,2)+COUNTIF('Inspire Day 5'!D8,2))+(COUNTIF('Inspire Day 5'!D7,3)+COUNTIF('Inspire Day 5'!D8,3))+(COUNTIF('Inspire Day 5'!D7,4)+COUNTIF('Inspire Day 5'!D8,4))</x:f>
        <x:v>0</x:v>
      </x:c>
      <x:c r="E33" s="13" t="str">
        <x:f>IF(D33=0,"",(1*(COUNTIF('Inspire Day 5'!D7,1)+COUNTIF('Inspire Day 5'!D8,1))+2*(COUNTIF('Inspire Day 5'!D7,2)+COUNTIF('Inspire Day 5'!D8,2))+3*(COUNTIF('Inspire Day 5'!D7,3)+COUNTIF('Inspire Day 5'!D8,3))+4*(COUNTIF('Inspire Day 5'!D7,4)+COUNTIF('Inspire Day 5'!D8,4)))/D33)</x:f>
      </x:c>
      <x:c r="F33" s="3" t="n">
        <x:f>(COUNTIF('Inspire Day 5'!D7,3)+COUNTIF('Inspire Day 5'!D8,3))</x:f>
        <x:v>0</x:v>
      </x:c>
      <x:c r="G33" s="3" t="n">
        <x:f>(COUNTIF('Inspire Day 5'!D7,4)+COUNTIF('Inspire Day 5'!D8,4))</x:f>
        <x:v>0</x:v>
      </x:c>
      <x:c r="H33" s="3" t="n">
        <x:f>(COUNTIF('Inspire Day 5'!H7,"Yes")+COUNTIF('Inspire Day 5'!H8,"Yes"))</x:f>
        <x:v>0</x:v>
      </x:c>
    </x:row>
    <x:row r="34" ht="70" customHeight="1">
      <x:c r="A34" s="3" t="str">
        <x:v>Inspire Grade 3</x:v>
      </x:c>
      <x:c r="B34" s="3" t="n">
        <x:v>5</x:v>
      </x:c>
      <x:c r="C34" s="3" t="str">
        <x:v>Personal safety</x:v>
      </x:c>
      <x:c r="D34" s="3" t="n">
        <x:f>(COUNTIF('Inspire Day 5'!D9,1)+COUNTIF('Inspire Day 5'!D10,1)+COUNTIF('Inspire Day 5'!D11,1)+COUNTIF('Inspire Day 5'!D14,1))+(COUNTIF('Inspire Day 5'!D9,2)+COUNTIF('Inspire Day 5'!D10,2)+COUNTIF('Inspire Day 5'!D11,2)+COUNTIF('Inspire Day 5'!D14,2))+(COUNTIF('Inspire Day 5'!D9,3)+COUNTIF('Inspire Day 5'!D10,3)+COUNTIF('Inspire Day 5'!D11,3)+COUNTIF('Inspire Day 5'!D14,3))+(COUNTIF('Inspire Day 5'!D9,4)+COUNTIF('Inspire Day 5'!D10,4)+COUNTIF('Inspire Day 5'!D11,4)+COUNTIF('Inspire Day 5'!D14,4))</x:f>
        <x:v>0</x:v>
      </x:c>
      <x:c r="E34" s="13" t="str">
        <x:f>IF(D34=0,"",(1*(COUNTIF('Inspire Day 5'!D9,1)+COUNTIF('Inspire Day 5'!D10,1)+COUNTIF('Inspire Day 5'!D11,1)+COUNTIF('Inspire Day 5'!D14,1))+2*(COUNTIF('Inspire Day 5'!D9,2)+COUNTIF('Inspire Day 5'!D10,2)+COUNTIF('Inspire Day 5'!D11,2)+COUNTIF('Inspire Day 5'!D14,2))+3*(COUNTIF('Inspire Day 5'!D9,3)+COUNTIF('Inspire Day 5'!D10,3)+COUNTIF('Inspire Day 5'!D11,3)+COUNTIF('Inspire Day 5'!D14,3))+4*(COUNTIF('Inspire Day 5'!D9,4)+COUNTIF('Inspire Day 5'!D10,4)+COUNTIF('Inspire Day 5'!D11,4)+COUNTIF('Inspire Day 5'!D14,4)))/D34)</x:f>
      </x:c>
      <x:c r="F34" s="3" t="n">
        <x:f>(COUNTIF('Inspire Day 5'!D9,3)+COUNTIF('Inspire Day 5'!D10,3)+COUNTIF('Inspire Day 5'!D11,3)+COUNTIF('Inspire Day 5'!D14,3))</x:f>
        <x:v>0</x:v>
      </x:c>
      <x:c r="G34" s="3" t="n">
        <x:f>(COUNTIF('Inspire Day 5'!D9,4)+COUNTIF('Inspire Day 5'!D10,4)+COUNTIF('Inspire Day 5'!D11,4)+COUNTIF('Inspire Day 5'!D14,4))</x:f>
        <x:v>0</x:v>
      </x:c>
      <x:c r="H34" s="3" t="n">
        <x:f>(COUNTIF('Inspire Day 5'!H9,"Yes")+COUNTIF('Inspire Day 5'!H10,"Yes")+COUNTIF('Inspire Day 5'!H11,"Yes")+COUNTIF('Inspire Day 5'!H14,"Yes"))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f6ec4b4e034f4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65" hidden="0" customWidth="1"/>
    <x:col min="4" max="4" width="74" hidden="0" customWidth="1"/>
    <x:col min="5" max="5" width="80" hidden="0" customWidth="1"/>
  </x:cols>
  <x:sheetData>
    <x:row r="1" ht="36" customHeight="1">
      <x:c r="A1" s="5" t="str">
        <x:v>Health expectations</x:v>
      </x:c>
      <x:c r="B1" s="6"/>
      <x:c r="C1" s="6"/>
      <x:c r="D1" s="6"/>
      <x:c r="E1" s="6"/>
    </x:row>
    <x:row r="2" ht="36" customHeight="1">
      <x:c r="A2" s="6" t="str">
        <x:v>Concise summaries and daily question links.</x:v>
      </x:c>
      <x:c r="B2" s="6"/>
      <x:c r="C2" s="6"/>
      <x:c r="D2" s="6"/>
      <x:c r="E2" s="6"/>
    </x:row>
    <x:row r="3" ht="70" customHeight="1">
      <x:c r="A3" s="3"/>
      <x:c r="B3" s="3"/>
      <x:c r="C3" s="3"/>
      <x:c r="D3" s="3"/>
      <x:c r="E3" s="3"/>
    </x:row>
    <x:row r="4" ht="42" customHeight="1">
      <x:c r="A4" s="10" t="str">
        <x:v>Grade</x:v>
      </x:c>
      <x:c r="B4" s="10" t="str">
        <x:v>Code</x:v>
      </x:c>
      <x:c r="C4" s="10" t="str">
        <x:v>Learning focus</x:v>
      </x:c>
      <x:c r="D4" s="10" t="str">
        <x:v>Daily questions</x:v>
      </x:c>
      <x:c r="E4" s="10" t="str">
        <x:v>Official source</x:v>
      </x:c>
    </x:row>
    <x:row r="5" ht="105" customHeight="1">
      <x:c r="A5" s="3" t="n">
        <x:v>2</x:v>
      </x:c>
      <x:c r="B5" s="3" t="str">
        <x:v>D1.1</x:v>
      </x:c>
      <x:c r="C5" s="3" t="str">
        <x:v>Practise home, online and outdoor safety.</x:v>
      </x:c>
      <x:c r="D5" s="3" t="str">
        <x:v>Day 1: 5, 10; Day 2: 5, 10; Day 3: 5, 10; Day 4: 5, 10; Day 5: 5, 10</x:v>
      </x:c>
      <x:c r="E5" s="3" t="str">
        <x:v>https://www.edu.gov.on.ca/eng/curriculum/elementary/2019-health-physical-education-grades-1to8.pdf</x:v>
      </x:c>
    </x:row>
    <x:row r="6" ht="105" customHeight="1">
      <x:c r="A6" s="3" t="n">
        <x:v>2</x:v>
      </x:c>
      <x:c r="B6" s="3" t="str">
        <x:v>D1.2</x:v>
      </x:c>
      <x:c r="C6" s="3" t="str">
        <x:v>Recognize allergies and appropriate precautions.</x:v>
      </x:c>
      <x:c r="D6" s="3" t="str">
        <x:v>Day 1: 6; Day 2: 6; Day 3: 6; Day 4: 6; Day 5: 6</x:v>
      </x:c>
      <x:c r="E6" s="3" t="str">
        <x:v>https://www.edu.gov.on.ca/eng/curriculum/elementary/2019-health-physical-education-grades-1to8.pdf</x:v>
      </x:c>
    </x:row>
    <x:row r="7" ht="105" customHeight="1">
      <x:c r="A7" s="3" t="n">
        <x:v>2</x:v>
      </x:c>
      <x:c r="B7" s="3" t="str">
        <x:v>D1.6</x:v>
      </x:c>
      <x:c r="C7" s="3" t="str">
        <x:v>Connect feelings with brain and body responses.</x:v>
      </x:c>
      <x:c r="D7" s="3" t="str">
        <x:v>Day 1: 8; Day 2: 8; Day 3: 8; Day 4: 8; Day 5: 8</x:v>
      </x:c>
      <x:c r="E7" s="3" t="str">
        <x:v>https://www.edu.gov.on.ca/eng/curriculum/elementary/2019-health-physical-education-grades-1to8.pdf</x:v>
      </x:c>
    </x:row>
    <x:row r="8" ht="105" customHeight="1">
      <x:c r="A8" s="3" t="n">
        <x:v>2</x:v>
      </x:c>
      <x:c r="B8" s="3" t="str">
        <x:v>D2.1</x:v>
      </x:c>
      <x:c r="C8" s="3" t="str">
        <x:v>Describe eating patterns supporting well-being.</x:v>
      </x:c>
      <x:c r="D8" s="3" t="str">
        <x:v>Day 1: 1; Day 2: 1; Day 3: 1; Day 4: 1; Day 5: 1</x:v>
      </x:c>
      <x:c r="E8" s="3" t="str">
        <x:v>https://www.edu.gov.on.ca/eng/curriculum/elementary/2019-health-physical-education-grades-1to8.pdf</x:v>
      </x:c>
    </x:row>
    <x:row r="9" ht="105" customHeight="1">
      <x:c r="A9" s="3" t="n">
        <x:v>2</x:v>
      </x:c>
      <x:c r="B9" s="3" t="str">
        <x:v>D2.2</x:v>
      </x:c>
      <x:c r="C9" s="3" t="str">
        <x:v>Make informed snack and meal choices.</x:v>
      </x:c>
      <x:c r="D9" s="3" t="str">
        <x:v>Day 1: 1, 2, 9; Day 2: 1, 2, 9; Day 3: 1, 2, 9; Day 4: 1, 2, 9; Day 5: 1, 2, 9</x:v>
      </x:c>
      <x:c r="E9" s="3" t="str">
        <x:v>https://www.edu.gov.on.ca/eng/curriculum/elementary/2019-health-physical-education-grades-1to8.pdf</x:v>
      </x:c>
    </x:row>
    <x:row r="10" ht="105" customHeight="1">
      <x:c r="A10" s="3" t="n">
        <x:v>2</x:v>
      </x:c>
      <x:c r="B10" s="3" t="str">
        <x:v>D2.3</x:v>
      </x:c>
      <x:c r="C10" s="3" t="str">
        <x:v>Practise consent and standing up for others.</x:v>
      </x:c>
      <x:c r="D10" s="3" t="str">
        <x:v>Day 1: 7; Day 2: 7; Day 3: 7; Day 4: 7; Day 5: 7</x:v>
      </x:c>
      <x:c r="E10" s="3" t="str">
        <x:v>https://www.edu.gov.on.ca/eng/curriculum/elementary/2019-health-physical-education-grades-1to8.pdf</x:v>
      </x:c>
    </x:row>
    <x:row r="11" ht="105" customHeight="1">
      <x:c r="A11" s="3" t="n">
        <x:v>2</x:v>
      </x:c>
      <x:c r="B11" s="3" t="str">
        <x:v>D2.4</x:v>
      </x:c>
      <x:c r="C11" s="3" t="str">
        <x:v>Care for teeth and gums.</x:v>
      </x:c>
      <x:c r="D11" s="3" t="str">
        <x:v>Day 1: 3, 4; Day 2: 3, 4; Day 3: 3, 4; Day 4: 3, 4; Day 5: 3, 4</x:v>
      </x:c>
      <x:c r="E11" s="3" t="str">
        <x:v>https://www.edu.gov.on.ca/eng/curriculum/elementary/2019-health-physical-education-grades-1to8.pdf</x:v>
      </x:c>
    </x:row>
    <x:row r="12" ht="105" customHeight="1">
      <x:c r="A12" s="3" t="n">
        <x:v>2</x:v>
      </x:c>
      <x:c r="B12" s="3" t="str">
        <x:v>D2.5</x:v>
      </x:c>
      <x:c r="C12" s="3" t="str">
        <x:v>Recognize when help is needed.</x:v>
      </x:c>
      <x:c r="D12" s="3" t="str">
        <x:v>Day 1: 8; Day 2: 8; Day 3: 8; Day 4: 8; Day 5: 8</x:v>
      </x:c>
      <x:c r="E12" s="3" t="str">
        <x:v>https://www.edu.gov.on.ca/eng/curriculum/elementary/2019-health-physical-education-grades-1to8.pdf</x:v>
      </x:c>
    </x:row>
    <x:row r="13" ht="105" customHeight="1">
      <x:c r="A13" s="3" t="n">
        <x:v>2</x:v>
      </x:c>
      <x:c r="B13" s="3" t="str">
        <x:v>D3.1</x:v>
      </x:c>
      <x:c r="C13" s="3" t="str">
        <x:v>Relate to others with care and respect.</x:v>
      </x:c>
      <x:c r="D13" s="3" t="str">
        <x:v>Day 1: 9; Day 2: 9; Day 4: 9; Day 5: 9</x:v>
      </x:c>
      <x:c r="E13" s="3" t="str">
        <x:v>https://www.edu.gov.on.ca/eng/curriculum/elementary/2019-health-physical-education-grades-1to8.pdf</x:v>
      </x:c>
    </x:row>
    <x:row r="14" ht="105" customHeight="1">
      <x:c r="A14" s="3" t="n">
        <x:v>3</x:v>
      </x:c>
      <x:c r="B14" s="3" t="str">
        <x:v>D1.1</x:v>
      </x:c>
      <x:c r="C14" s="3" t="str">
        <x:v>Connect food origins, preparation and environmental effects.</x:v>
      </x:c>
      <x:c r="D14" s="3" t="str">
        <x:v>Day 1: 1, 2; Day 2: 1, 2; Day 3: 1, 2; Day 4: 1, 2; Day 5: 1, 2</x:v>
      </x:c>
      <x:c r="E14" s="3" t="str">
        <x:v>https://www.edu.gov.on.ca/eng/curriculum/elementary/2019-health-physical-education-grades-1to8.pdf</x:v>
      </x:c>
    </x:row>
    <x:row r="15" ht="105" customHeight="1">
      <x:c r="A15" s="3" t="n">
        <x:v>3</x:v>
      </x:c>
      <x:c r="B15" s="3" t="str">
        <x:v>D1.2</x:v>
      </x:c>
      <x:c r="C15" s="3" t="str">
        <x:v>Recognize concussion symptoms and responses.</x:v>
      </x:c>
      <x:c r="D15" s="3" t="str">
        <x:v>Day 1: 6; Day 2: 6; Day 3: 6; Day 4: 6; Day 5: 6</x:v>
      </x:c>
      <x:c r="E15" s="3" t="str">
        <x:v>https://www.edu.gov.on.ca/eng/curriculum/elementary/2019-health-physical-education-grades-1to8.pdf</x:v>
      </x:c>
    </x:row>
    <x:row r="16" ht="105" customHeight="1">
      <x:c r="A16" s="3" t="n">
        <x:v>3</x:v>
      </x:c>
      <x:c r="B16" s="3" t="str">
        <x:v>D1.4</x:v>
      </x:c>
      <x:c r="C16" s="3" t="str">
        <x:v>Build respectful relationships and practise consent.</x:v>
      </x:c>
      <x:c r="D16" s="3" t="str">
        <x:v>Day 1: 7; Day 2: 7; Day 3: 7; Day 4: 7; Day 5: 7</x:v>
      </x:c>
      <x:c r="E16" s="3" t="str">
        <x:v>https://www.edu.gov.on.ca/eng/curriculum/elementary/2019-health-physical-education-grades-1to8.pdf</x:v>
      </x:c>
    </x:row>
    <x:row r="17" ht="105" customHeight="1">
      <x:c r="A17" s="3" t="n">
        <x:v>3</x:v>
      </x:c>
      <x:c r="B17" s="3" t="str">
        <x:v>D1.6</x:v>
      </x:c>
      <x:c r="C17" s="3" t="str">
        <x:v>Understand the brain response to stress.</x:v>
      </x:c>
      <x:c r="D17" s="3" t="str">
        <x:v>Day 1: 8; Day 2: 8; Day 3: 8; Day 4: 8; Day 5: 8</x:v>
      </x:c>
      <x:c r="E17" s="3" t="str">
        <x:v>https://www.edu.gov.on.ca/eng/curriculum/elementary/2019-health-physical-education-grades-1to8.pdf</x:v>
      </x:c>
    </x:row>
    <x:row r="18" ht="105" customHeight="1">
      <x:c r="A18" s="3" t="n">
        <x:v>3</x:v>
      </x:c>
      <x:c r="B18" s="3" t="str">
        <x:v>D2.1</x:v>
      </x:c>
      <x:c r="C18" s="3" t="str">
        <x:v>Connect food choices with oral health.</x:v>
      </x:c>
      <x:c r="D18" s="3" t="str">
        <x:v>Day 1: 3, 4; Day 2: 3, 4; Day 3: 3, 4; Day 4: 3, 4; Day 5: 3, 4</x:v>
      </x:c>
      <x:c r="E18" s="3" t="str">
        <x:v>https://www.edu.gov.on.ca/eng/curriculum/elementary/2019-health-physical-education-grades-1to8.pdf</x:v>
      </x:c>
    </x:row>
    <x:row r="19" ht="105" customHeight="1">
      <x:c r="A19" s="3" t="n">
        <x:v>3</x:v>
      </x:c>
      <x:c r="B19" s="3" t="str">
        <x:v>D2.2</x:v>
      </x:c>
      <x:c r="C19" s="3" t="str">
        <x:v>Apply safety guidelines beyond the classroom.</x:v>
      </x:c>
      <x:c r="D19" s="3" t="str">
        <x:v>Day 1: 5, 10; Day 2: 5, 10; Day 3: 5, 10; Day 4: 5, 10; Day 5: 5, 10</x:v>
      </x:c>
      <x:c r="E19" s="3" t="str">
        <x:v>https://www.edu.gov.on.ca/eng/curriculum/elementary/2019-health-physical-education-grades-1to8.pdf</x:v>
      </x:c>
    </x:row>
    <x:row r="20" ht="105" customHeight="1">
      <x:c r="A20" s="3" t="n">
        <x:v>3</x:v>
      </x:c>
      <x:c r="B20" s="3" t="str">
        <x:v>D3.1</x:v>
      </x:c>
      <x:c r="C20" s="3" t="str">
        <x:v>Consider local and cultural foods in choices.</x:v>
      </x:c>
      <x:c r="D20" s="3" t="str">
        <x:v>Day 1: 9; Day 2: 9; Day 3: 9; Day 4: 9; Day 5: 9</x:v>
      </x:c>
      <x:c r="E20" s="3" t="str">
        <x:v>https://www.edu.gov.on.ca/eng/curriculum/elementary/2019-health-physical-education-grades-1to8.pdf</x:v>
      </x:c>
    </x:row>
    <x:row r="21" ht="105" customHeight="1">
      <x:c r="A21" s="3" t="n">
        <x:v>3</x:v>
      </x:c>
      <x:c r="B21" s="3" t="str">
        <x:v>D3.4</x:v>
      </x:c>
      <x:c r="C21" s="3" t="str">
        <x:v>Identify outside influences on stress.</x:v>
      </x:c>
      <x:c r="D21" s="3" t="str">
        <x:v>Day 1: 8; Day 2: 8; Day 3: 8; Day 4: 8; Day 5: 8</x:v>
      </x:c>
      <x:c r="E21" s="3" t="str">
        <x:v>https://www.edu.gov.on.ca/eng/curriculum/elementary/2019-health-physical-education-grades-1to8.pdf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7" hidden="0" customWidth="1"/>
    <x:col min="3" max="3" width="7" hidden="0" customWidth="1"/>
    <x:col min="4" max="4" width="43" hidden="0" customWidth="1"/>
    <x:col min="5" max="5" width="78" hidden="0" customWidth="1"/>
    <x:col min="6" max="6" width="98" hidden="0" customWidth="1"/>
    <x:col min="7" max="7" width="25" hidden="0" customWidth="1"/>
    <x:col min="8" max="8" width="35" hidden="0" customWidth="1"/>
  </x:cols>
  <x:sheetData>
    <x:row r="1" ht="36" customHeight="1">
      <x:c r="A1" s="5" t="str">
        <x:v>Health answer guide</x:v>
      </x:c>
      <x:c r="B1" s="6"/>
      <x:c r="C1" s="6"/>
      <x:c r="D1" s="6"/>
      <x:c r="E1" s="6"/>
      <x:c r="F1" s="6"/>
      <x:c r="G1" s="6"/>
      <x:c r="H1" s="6"/>
    </x:row>
    <x:row r="2" ht="36" customHeight="1">
      <x:c r="A2" s="6" t="str">
        <x:v>100 questions. Five days per grade.</x:v>
      </x:c>
      <x:c r="B2" s="6"/>
      <x:c r="C2" s="6"/>
      <x:c r="D2" s="6"/>
      <x:c r="E2" s="6"/>
      <x:c r="F2" s="6"/>
      <x:c r="G2" s="6"/>
      <x:c r="H2" s="6"/>
    </x:row>
    <x:row r="3" ht="70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Grade</x:v>
      </x:c>
      <x:c r="B4" s="10" t="str">
        <x:v>Day</x:v>
      </x:c>
      <x:c r="C4" s="10" t="str">
        <x:v>Q</x:v>
      </x:c>
      <x:c r="D4" s="10" t="str">
        <x:v>Activity</x:v>
      </x:c>
      <x:c r="E4" s="10" t="str">
        <x:v>Task</x:v>
      </x:c>
      <x:c r="F4" s="10" t="str">
        <x:v>Expected answer / evidence</x:v>
      </x:c>
      <x:c r="G4" s="10" t="str">
        <x:v>Expectations</x:v>
      </x:c>
      <x:c r="H4" s="10" t="str">
        <x:v>Health focus</x:v>
      </x:c>
    </x:row>
    <x:row r="5" ht="155" customHeight="1">
      <x:c r="A5" s="3" t="n">
        <x:v>2</x:v>
      </x:c>
      <x:c r="B5" s="3" t="n">
        <x:v>1</x:v>
      </x:c>
      <x:c r="C5" s="3" t="n">
        <x:v>1</x:v>
      </x:c>
      <x:c r="D5" s="3" t="str">
        <x:v>Make a lunch plate</x:v>
      </x:c>
      <x:c r="E5" s="3" t="str">
        <x:v>Make a plate you like!
Shuffle to see more foods. Drag a food to its part of the plate, or tap the food and then its part.
What could you drink with lunch? Tick one.</x:v>
      </x:c>
      <x:c r="F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</x:v>
      </x:c>
      <x:c r="G5" s="3" t="str">
        <x:v>D2.1, D2.2</x:v>
      </x:c>
      <x:c r="H5" s="3" t="str"/>
    </x:row>
    <x:row r="6" ht="155" customHeight="1">
      <x:c r="A6" s="3" t="n">
        <x:v>2</x:v>
      </x:c>
      <x:c r="B6" s="3" t="n">
        <x:v>1</x:v>
      </x:c>
      <x:c r="C6" s="3" t="n">
        <x:v>2</x:v>
      </x:c>
      <x:c r="D6" s="3" t="str">
        <x:v>Finish a lunch</x:v>
      </x:c>
      <x:c r="E6" s="3" t="str">
        <x:v>Lunch already has fruit and vegetables. Tick ONE whole-grain food and ONE protein food.</x:v>
      </x:c>
      <x:c r="F6" s="3" t="str">
        <x:v>Select one whole-grain food (bread or brown rice) and one protein food (egg or kidney beans).</x:v>
      </x:c>
      <x:c r="G6" s="3" t="str">
        <x:v>D2.2</x:v>
      </x:c>
      <x:c r="H6" s="3" t="str"/>
    </x:row>
    <x:row r="7" ht="155" customHeight="1">
      <x:c r="A7" s="3" t="n">
        <x:v>2</x:v>
      </x:c>
      <x:c r="B7" s="3" t="n">
        <x:v>1</x:v>
      </x:c>
      <x:c r="C7" s="3" t="n">
        <x:v>3</x:v>
      </x:c>
      <x:c r="D7" s="3" t="str">
        <x:v>Brush morning and night</x:v>
      </x:c>
      <x:c r="E7" s="3" t="str">
        <x:v>It is bedtime. You brushed this morning. What should you do now? Tick one.</x:v>
      </x:c>
      <x:c r="F7" s="3" t="str">
        <x:v>Select: Brush again with fluoride toothpaste..</x:v>
      </x:c>
      <x:c r="G7" s="3" t="str">
        <x:v>D2.4</x:v>
      </x:c>
      <x:c r="H7" s="3" t="str">
        <x:v>Oral health</x:v>
      </x:c>
    </x:row>
    <x:row r="8" ht="155" customHeight="1">
      <x:c r="A8" s="3" t="n">
        <x:v>2</x:v>
      </x:c>
      <x:c r="B8" s="3" t="n">
        <x:v>1</x:v>
      </x:c>
      <x:c r="C8" s="3" t="n">
        <x:v>4</x:v>
      </x:c>
      <x:c r="D8" s="3" t="str">
        <x:v>Water with a snack</x:v>
      </x:c>
      <x:c r="E8" s="3" t="str">
        <x:v>You feel thirsty after playing. Which everyday drink has no added sugar? Tick water.</x:v>
      </x:c>
      <x:c r="F8" s="3" t="str">
        <x:v>Select: Water..</x:v>
      </x:c>
      <x:c r="G8" s="3" t="str">
        <x:v>D2.4</x:v>
      </x:c>
      <x:c r="H8" s="3" t="str">
        <x:v>Oral health</x:v>
      </x:c>
    </x:row>
    <x:row r="9" ht="155" customHeight="1">
      <x:c r="A9" s="3" t="n">
        <x:v>2</x:v>
      </x:c>
      <x:c r="B9" s="3" t="n">
        <x:v>1</x:v>
      </x:c>
      <x:c r="C9" s="3" t="n">
        <x:v>5</x:v>
      </x:c>
      <x:c r="D9" s="3" t="str">
        <x:v>Cut a snack safely</x:v>
      </x:c>
      <x:c r="E9" s="3" t="str">
        <x:v>You want cucumber slices. Who should use the sharp kitchen knife? Tick one.</x:v>
      </x:c>
      <x:c r="F9" s="3" t="str">
        <x:v>Select: Ask a grown-up to cut the cucumber..</x:v>
      </x:c>
      <x:c r="G9" s="3" t="str">
        <x:v>D1.1</x:v>
      </x:c>
      <x:c r="H9" s="3" t="str">
        <x:v>Personal safety</x:v>
      </x:c>
    </x:row>
    <x:row r="10" ht="155" customHeight="1">
      <x:c r="A10" s="3" t="n">
        <x:v>2</x:v>
      </x:c>
      <x:c r="B10" s="3" t="n">
        <x:v>1</x:v>
      </x:c>
      <x:c r="C10" s="3" t="n">
        <x:v>6</x:v>
      </x:c>
      <x:c r="D10" s="3" t="str">
        <x:v>Check food allergies</x:v>
      </x:c>
      <x:c r="E10" s="3" t="str">
        <x:v>A friend has a food allergy. You do not know what is in a snack. What should you do? Tick one.</x:v>
      </x:c>
      <x:c r="F10" s="3" t="str">
        <x:v>Select: Ask a trusted grown-up to check and find a safe choice..</x:v>
      </x:c>
      <x:c r="G10" s="3" t="str">
        <x:v>D1.2</x:v>
      </x:c>
      <x:c r="H10" s="3" t="str">
        <x:v>Personal safety</x:v>
      </x:c>
    </x:row>
    <x:row r="11" ht="155" customHeight="1">
      <x:c r="A11" s="3" t="n">
        <x:v>2</x:v>
      </x:c>
      <x:c r="B11" s="3" t="n">
        <x:v>1</x:v>
      </x:c>
      <x:c r="C11" s="3" t="n">
        <x:v>7</x:v>
      </x:c>
      <x:c r="D11" s="3" t="str">
        <x:v>Listen to “no”</x:v>
      </x:c>
      <x:c r="E11" s="3" t="str">
        <x:v>You ask your friend for a hug. Your friend says, “No, thanks.” What should you do? Tick one.</x:v>
      </x:c>
      <x:c r="F11" s="3" t="str">
        <x:v>Select: Respect the answer and give them space..</x:v>
      </x:c>
      <x:c r="G11" s="3" t="str">
        <x:v>D2.3</x:v>
      </x:c>
      <x:c r="H11" s="3" t="str">
        <x:v>Personal safety</x:v>
      </x:c>
    </x:row>
    <x:row r="12" ht="155" customHeight="1">
      <x:c r="A12" s="3" t="n">
        <x:v>2</x:v>
      </x:c>
      <x:c r="B12" s="3" t="n">
        <x:v>1</x:v>
      </x:c>
      <x:c r="C12" s="3" t="n">
        <x:v>8</x:v>
      </x:c>
      <x:c r="D12" s="3" t="str">
        <x:v>A worried tummy</x:v>
      </x:c>
      <x:c r="E12" s="3" t="str">
        <x:v>You are waiting for your turn to speak. Your tummy feels fluttery. What could help? Tick two.</x:v>
      </x:c>
      <x:c r="F12" s="3" t="str">
        <x:v>Select: Take a slow breath.; Tell a trusted grown-up how I feel..</x:v>
      </x:c>
      <x:c r="G12" s="3" t="str">
        <x:v>D1.6, D2.5</x:v>
      </x:c>
      <x:c r="H12" s="3" t="str"/>
    </x:row>
    <x:row r="13" ht="155" customHeight="1">
      <x:c r="A13" s="3" t="n">
        <x:v>2</x:v>
      </x:c>
      <x:c r="B13" s="3" t="n">
        <x:v>1</x:v>
      </x:c>
      <x:c r="C13" s="3" t="n">
        <x:v>9</x:v>
      </x:c>
      <x:c r="D13" s="3" t="str">
        <x:v>Different lunches</x:v>
      </x:c>
      <x:c r="E13" s="3" t="str">
        <x:v>Your friend brings rice and beans. You bring a sandwich. What is a kind thing to say? Tick one.</x:v>
      </x:c>
      <x:c r="F13" s="3" t="str">
        <x:v>Select: Families enjoy different foods. Both lunches are welcome..</x:v>
      </x:c>
      <x:c r="G13" s="3" t="str">
        <x:v>D3.1, D2.2</x:v>
      </x:c>
      <x:c r="H13" s="3" t="str"/>
    </x:row>
    <x:row r="14" ht="155" customHeight="1">
      <x:c r="A14" s="3" t="n">
        <x:v>2</x:v>
      </x:c>
      <x:c r="B14" s="3" t="n">
        <x:v>1</x:v>
      </x:c>
      <x:c r="C14" s="3" t="n">
        <x:v>10</x:v>
      </x:c>
      <x:c r="D14" s="3" t="str">
        <x:v>Check before clicking</x:v>
      </x:c>
      <x:c r="E14" s="3" t="str">
        <x:v>A game has a button asking for your name and address. What should you do? Tick one.</x:v>
      </x:c>
      <x:c r="F14" s="3" t="str">
        <x:v>Select: Stop and ask my grown-up..</x:v>
      </x:c>
      <x:c r="G14" s="3" t="str">
        <x:v>D1.1</x:v>
      </x:c>
      <x:c r="H14" s="3" t="str">
        <x:v>Personal safety</x:v>
      </x:c>
    </x:row>
    <x:row r="15" ht="155" customHeight="1">
      <x:c r="A15" s="3" t="n">
        <x:v>2</x:v>
      </x:c>
      <x:c r="B15" s="3" t="n">
        <x:v>2</x:v>
      </x:c>
      <x:c r="C15" s="3" t="n">
        <x:v>1</x:v>
      </x:c>
      <x:c r="D15" s="3" t="str">
        <x:v>Make a lunch plate</x:v>
      </x:c>
      <x:c r="E15" s="3" t="str">
        <x:v>Make a plate you like!
Shuffle to see more foods. Drag a food to its part of the plate, or tap the food and then its part.
What could you drink with lunch? Tick one.</x:v>
      </x:c>
      <x:c r="F1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</x:v>
      </x:c>
      <x:c r="G15" s="3" t="str">
        <x:v>D2.1, D2.2</x:v>
      </x:c>
      <x:c r="H15" s="3" t="str"/>
    </x:row>
    <x:row r="16" ht="155" customHeight="1">
      <x:c r="A16" s="3" t="n">
        <x:v>2</x:v>
      </x:c>
      <x:c r="B16" s="3" t="n">
        <x:v>2</x:v>
      </x:c>
      <x:c r="C16" s="3" t="n">
        <x:v>2</x:v>
      </x:c>
      <x:c r="D16" s="3" t="str">
        <x:v>Finish a lunch</x:v>
      </x:c>
      <x:c r="E16" s="3" t="str">
        <x:v>Lunch already has fruit and vegetables. Tick ONE whole-grain food and ONE protein food.</x:v>
      </x:c>
      <x:c r="F16" s="3" t="str">
        <x:v>Select one whole-grain food (bread or brown rice) and one protein food (egg or kidney beans).</x:v>
      </x:c>
      <x:c r="G16" s="3" t="str">
        <x:v>D2.2</x:v>
      </x:c>
      <x:c r="H16" s="3" t="str"/>
    </x:row>
    <x:row r="17" ht="155" customHeight="1">
      <x:c r="A17" s="3" t="n">
        <x:v>2</x:v>
      </x:c>
      <x:c r="B17" s="3" t="n">
        <x:v>2</x:v>
      </x:c>
      <x:c r="C17" s="3" t="n">
        <x:v>3</x:v>
      </x:c>
      <x:c r="D17" s="3" t="str">
        <x:v>Make a brushing reminder</x:v>
      </x:c>
      <x:c r="E17" s="3" t="str">
        <x:v>You put a toothbrush picture by the bathroom mirror. How can it help? Tick one.</x:v>
      </x:c>
      <x:c r="F17" s="3" t="str">
        <x:v>Select: It can remind me to brush my teeth..</x:v>
      </x:c>
      <x:c r="G17" s="3" t="str">
        <x:v>D2.4</x:v>
      </x:c>
      <x:c r="H17" s="3" t="str">
        <x:v>Oral health</x:v>
      </x:c>
    </x:row>
    <x:row r="18" ht="155" customHeight="1">
      <x:c r="A18" s="3" t="n">
        <x:v>2</x:v>
      </x:c>
      <x:c r="B18" s="3" t="n">
        <x:v>2</x:v>
      </x:c>
      <x:c r="C18" s="3" t="n">
        <x:v>4</x:v>
      </x:c>
      <x:c r="D18" s="3" t="str">
        <x:v>Drink with lunch</x:v>
      </x:c>
      <x:c r="E18" s="3" t="str">
        <x:v>You are choosing a drink with lunch. Which choice is water? Tick one.</x:v>
      </x:c>
      <x:c r="F18" s="3" t="str">
        <x:v>Select: Water..</x:v>
      </x:c>
      <x:c r="G18" s="3" t="str">
        <x:v>D2.4</x:v>
      </x:c>
      <x:c r="H18" s="3" t="str">
        <x:v>Oral health</x:v>
      </x:c>
    </x:row>
    <x:row r="19" ht="155" customHeight="1">
      <x:c r="A19" s="3" t="n">
        <x:v>2</x:v>
      </x:c>
      <x:c r="B19" s="3" t="n">
        <x:v>2</x:v>
      </x:c>
      <x:c r="C19" s="3" t="n">
        <x:v>5</x:v>
      </x:c>
      <x:c r="D19" s="3" t="str">
        <x:v>Cross with a grown-up</x:v>
      </x:c>
      <x:c r="E19" s="3" t="str">
        <x:v>You and your grown-up need to cross a road. What should you do? Tick one.</x:v>
      </x:c>
      <x:c r="F19" s="3" t="str">
        <x:v>Select: Stay together and follow the crossing signals..</x:v>
      </x:c>
      <x:c r="G19" s="3" t="str">
        <x:v>D1.1</x:v>
      </x:c>
      <x:c r="H19" s="3" t="str">
        <x:v>Personal safety</x:v>
      </x:c>
    </x:row>
    <x:row r="20" ht="155" customHeight="1">
      <x:c r="A20" s="3" t="n">
        <x:v>2</x:v>
      </x:c>
      <x:c r="B20" s="3" t="n">
        <x:v>2</x:v>
      </x:c>
      <x:c r="C20" s="3" t="n">
        <x:v>6</x:v>
      </x:c>
      <x:c r="D20" s="3" t="str">
        <x:v>Check food allergies</x:v>
      </x:c>
      <x:c r="E20" s="3" t="str">
        <x:v>A snack label lists a food your friend is allergic to. What should you do? Tick one.</x:v>
      </x:c>
      <x:c r="F20" s="3" t="str">
        <x:v>Select: Ask a trusted grown-up to check and find a safe choice..</x:v>
      </x:c>
      <x:c r="G20" s="3" t="str">
        <x:v>D1.2</x:v>
      </x:c>
      <x:c r="H20" s="3" t="str">
        <x:v>Personal safety</x:v>
      </x:c>
    </x:row>
    <x:row r="21" ht="155" customHeight="1">
      <x:c r="A21" s="3" t="n">
        <x:v>2</x:v>
      </x:c>
      <x:c r="B21" s="3" t="n">
        <x:v>2</x:v>
      </x:c>
      <x:c r="C21" s="3" t="n">
        <x:v>7</x:v>
      </x:c>
      <x:c r="D21" s="3" t="str">
        <x:v>Ask before borrowing</x:v>
      </x:c>
      <x:c r="E21" s="3" t="str">
        <x:v>You want to use your friend’s pencil case. What should you do first? Tick one.</x:v>
      </x:c>
      <x:c r="F21" s="3" t="str">
        <x:v>Select: Ask and wait for an answer..</x:v>
      </x:c>
      <x:c r="G21" s="3" t="str">
        <x:v>D2.3</x:v>
      </x:c>
      <x:c r="H21" s="3" t="str">
        <x:v>Personal safety</x:v>
      </x:c>
    </x:row>
    <x:row r="22" ht="155" customHeight="1">
      <x:c r="A22" s="3" t="n">
        <x:v>2</x:v>
      </x:c>
      <x:c r="B22" s="3" t="n">
        <x:v>2</x:v>
      </x:c>
      <x:c r="C22" s="3" t="n">
        <x:v>8</x:v>
      </x:c>
      <x:c r="D22" s="3" t="str">
        <x:v>A loud room</x:v>
      </x:c>
      <x:c r="E22" s="3" t="str">
        <x:v>The room gets very noisy. Your shoulders feel tight. What could help? Tick two.</x:v>
      </x:c>
      <x:c r="F22" s="3" t="str">
        <x:v>Select: Tell a grown-up the noise is bothering me.; Ask for a quieter place for a little while..</x:v>
      </x:c>
      <x:c r="G22" s="3" t="str">
        <x:v>D1.6, D2.5</x:v>
      </x:c>
      <x:c r="H22" s="3" t="str"/>
    </x:row>
    <x:row r="23" ht="155" customHeight="1">
      <x:c r="A23" s="3" t="n">
        <x:v>2</x:v>
      </x:c>
      <x:c r="B23" s="3" t="n">
        <x:v>2</x:v>
      </x:c>
      <x:c r="C23" s="3" t="n">
        <x:v>9</x:v>
      </x:c>
      <x:c r="D23" s="3" t="str">
        <x:v>Try or say no</x:v>
      </x:c>
      <x:c r="E23" s="3" t="str">
        <x:v>Someone offers you a food you have not tried. What is a kind, respectful choice? Tick one.</x:v>
      </x:c>
      <x:c r="F23" s="3" t="str">
        <x:v>Select: Say “Yes, please” or “No, thank you.”.</x:v>
      </x:c>
      <x:c r="G23" s="3" t="str">
        <x:v>D3.1, D2.2</x:v>
      </x:c>
      <x:c r="H23" s="3" t="str"/>
    </x:row>
    <x:row r="24" ht="155" customHeight="1">
      <x:c r="A24" s="3" t="n">
        <x:v>2</x:v>
      </x:c>
      <x:c r="B24" s="3" t="n">
        <x:v>2</x:v>
      </x:c>
      <x:c r="C24" s="3" t="n">
        <x:v>10</x:v>
      </x:c>
      <x:c r="D24" s="3" t="str">
        <x:v>An upsetting message</x:v>
      </x:c>
      <x:c r="E24" s="3" t="str">
        <x:v>A message online makes you feel worried. What should you do? Tick one.</x:v>
      </x:c>
      <x:c r="F24" s="3" t="str">
        <x:v>Select: Show a trusted grown-up..</x:v>
      </x:c>
      <x:c r="G24" s="3" t="str">
        <x:v>D1.1</x:v>
      </x:c>
      <x:c r="H24" s="3" t="str">
        <x:v>Personal safety</x:v>
      </x:c>
    </x:row>
    <x:row r="25" ht="155" customHeight="1">
      <x:c r="A25" s="3" t="n">
        <x:v>2</x:v>
      </x:c>
      <x:c r="B25" s="3" t="n">
        <x:v>3</x:v>
      </x:c>
      <x:c r="C25" s="3" t="n">
        <x:v>1</x:v>
      </x:c>
      <x:c r="D25" s="3" t="str">
        <x:v>Make a lunch plate</x:v>
      </x:c>
      <x:c r="E25" s="3" t="str">
        <x:v>Make a plate you like!
Shuffle to see more foods. Drag a food to its part of the plate, or tap the food and then its part.
What could you drink with lunch? Tick one.</x:v>
      </x:c>
      <x:c r="F2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</x:v>
      </x:c>
      <x:c r="G25" s="3" t="str">
        <x:v>D2.1, D2.2</x:v>
      </x:c>
      <x:c r="H25" s="3" t="str"/>
    </x:row>
    <x:row r="26" ht="155" customHeight="1">
      <x:c r="A26" s="3" t="n">
        <x:v>2</x:v>
      </x:c>
      <x:c r="B26" s="3" t="n">
        <x:v>3</x:v>
      </x:c>
      <x:c r="C26" s="3" t="n">
        <x:v>2</x:v>
      </x:c>
      <x:c r="D26" s="3" t="str">
        <x:v>Finish a lunch</x:v>
      </x:c>
      <x:c r="E26" s="3" t="str">
        <x:v>Lunch already has fruit and vegetables. Tick ONE whole-grain food and ONE protein food.</x:v>
      </x:c>
      <x:c r="F26" s="3" t="str">
        <x:v>Select one whole-grain food (bread or brown rice) and one protein food (egg or kidney beans).</x:v>
      </x:c>
      <x:c r="G26" s="3" t="str">
        <x:v>D2.2</x:v>
      </x:c>
      <x:c r="H26" s="3" t="str"/>
    </x:row>
    <x:row r="27" ht="155" customHeight="1">
      <x:c r="A27" s="3" t="n">
        <x:v>2</x:v>
      </x:c>
      <x:c r="B27" s="3" t="n">
        <x:v>3</x:v>
      </x:c>
      <x:c r="C27" s="3" t="n">
        <x:v>3</x:v>
      </x:c>
      <x:c r="D27" s="3" t="str">
        <x:v>Clean every side</x:v>
      </x:c>
      <x:c r="E27" s="3" t="str">
        <x:v>You are brushing your teeth. Which parts need gentle brushing? Tick one.</x:v>
      </x:c>
      <x:c r="F27" s="3" t="str">
        <x:v>Select: The front, back and chewing sides of my teeth..</x:v>
      </x:c>
      <x:c r="G27" s="3" t="str">
        <x:v>D2.4</x:v>
      </x:c>
      <x:c r="H27" s="3" t="str">
        <x:v>Oral health</x:v>
      </x:c>
    </x:row>
    <x:row r="28" ht="155" customHeight="1">
      <x:c r="A28" s="3" t="n">
        <x:v>2</x:v>
      </x:c>
      <x:c r="B28" s="3" t="n">
        <x:v>3</x:v>
      </x:c>
      <x:c r="C28" s="3" t="n">
        <x:v>4</x:v>
      </x:c>
      <x:c r="D28" s="3" t="str">
        <x:v>Pack a water bottle</x:v>
      </x:c>
      <x:c r="E28" s="3" t="str">
        <x:v>You are going to the park. Which drink would you put in your water bottle? Tick one.</x:v>
      </x:c>
      <x:c r="F28" s="3" t="str">
        <x:v>Select: Water..</x:v>
      </x:c>
      <x:c r="G28" s="3" t="str">
        <x:v>D2.4</x:v>
      </x:c>
      <x:c r="H28" s="3" t="str">
        <x:v>Oral health</x:v>
      </x:c>
    </x:row>
    <x:row r="29" ht="155" customHeight="1">
      <x:c r="A29" s="3" t="n">
        <x:v>2</x:v>
      </x:c>
      <x:c r="B29" s="3" t="n">
        <x:v>3</x:v>
      </x:c>
      <x:c r="C29" s="3" t="n">
        <x:v>5</x:v>
      </x:c>
      <x:c r="D29" s="3" t="str">
        <x:v>Stay with your group</x:v>
      </x:c>
      <x:c r="E29" s="3" t="str">
        <x:v>Your class is at a park. You want to see something farther away. What should you do first? Tick one.</x:v>
      </x:c>
      <x:c r="F29" s="3" t="str">
        <x:v>Select: Ask the grown-up and stay with my group..</x:v>
      </x:c>
      <x:c r="G29" s="3" t="str">
        <x:v>D1.1</x:v>
      </x:c>
      <x:c r="H29" s="3" t="str">
        <x:v>Personal safety</x:v>
      </x:c>
    </x:row>
    <x:row r="30" ht="155" customHeight="1">
      <x:c r="A30" s="3" t="n">
        <x:v>2</x:v>
      </x:c>
      <x:c r="B30" s="3" t="n">
        <x:v>3</x:v>
      </x:c>
      <x:c r="C30" s="3" t="n">
        <x:v>6</x:v>
      </x:c>
      <x:c r="D30" s="3" t="str">
        <x:v>Check food allergies</x:v>
      </x:c>
      <x:c r="E30" s="3" t="str">
        <x:v>You are sharing a snack. Your friend says they have a food allergy. What should you do first? Tick one.</x:v>
      </x:c>
      <x:c r="F30" s="3" t="str">
        <x:v>Select: Ask a trusted grown-up to check and find a safe choice..</x:v>
      </x:c>
      <x:c r="G30" s="3" t="str">
        <x:v>D1.2</x:v>
      </x:c>
      <x:c r="H30" s="3" t="str">
        <x:v>Personal safety</x:v>
      </x:c>
    </x:row>
    <x:row r="31" ht="155" customHeight="1">
      <x:c r="A31" s="3" t="n">
        <x:v>2</x:v>
      </x:c>
      <x:c r="B31" s="3" t="n">
        <x:v>3</x:v>
      </x:c>
      <x:c r="C31" s="3" t="n">
        <x:v>7</x:v>
      </x:c>
      <x:c r="D31" s="3" t="str">
        <x:v>Choose a game together</x:v>
      </x:c>
      <x:c r="E31" s="3" t="str">
        <x:v>Your friend does not want to play tag. What is a kind choice? Tick one.</x:v>
      </x:c>
      <x:c r="F31" s="3" t="str">
        <x:v>Select: Respect their choice and offer another game..</x:v>
      </x:c>
      <x:c r="G31" s="3" t="str">
        <x:v>D2.3</x:v>
      </x:c>
      <x:c r="H31" s="3" t="str">
        <x:v>Personal safety</x:v>
      </x:c>
    </x:row>
    <x:row r="32" ht="155" customHeight="1">
      <x:c r="A32" s="3" t="n">
        <x:v>2</x:v>
      </x:c>
      <x:c r="B32" s="3" t="n">
        <x:v>3</x:v>
      </x:c>
      <x:c r="C32" s="3" t="n">
        <x:v>8</x:v>
      </x:c>
      <x:c r="D32" s="3" t="str">
        <x:v>A tricky task</x:v>
      </x:c>
      <x:c r="E32" s="3" t="str">
        <x:v>You cannot get a puzzle piece to fit. You feel frustrated. What could help? Tick two.</x:v>
      </x:c>
      <x:c r="F32" s="3" t="str">
        <x:v>Select: Pause and take a slow breath.; Ask for help..</x:v>
      </x:c>
      <x:c r="G32" s="3" t="str">
        <x:v>D1.6, D2.5</x:v>
      </x:c>
      <x:c r="H32" s="3" t="str"/>
    </x:row>
    <x:row r="33" ht="155" customHeight="1">
      <x:c r="A33" s="3" t="n">
        <x:v>2</x:v>
      </x:c>
      <x:c r="B33" s="3" t="n">
        <x:v>3</x:v>
      </x:c>
      <x:c r="C33" s="3" t="n">
        <x:v>9</x:v>
      </x:c>
      <x:c r="D33" s="3" t="str">
        <x:v>Pick a snack at the farm</x:v>
      </x:c>
      <x:c r="E33" s="3" t="str">
        <x:v>Your family is picking a snack at a farm stall. What should you think about? Tick two.</x:v>
      </x:c>
      <x:c r="F33" s="3" t="str">
        <x:v>Select foods the child can eat safely and enjoys, within family access.</x:v>
      </x:c>
      <x:c r="G33" s="3" t="str">
        <x:v>D2.2</x:v>
      </x:c>
      <x:c r="H33" s="3" t="str"/>
    </x:row>
    <x:row r="34" ht="155" customHeight="1">
      <x:c r="A34" s="3" t="n">
        <x:v>2</x:v>
      </x:c>
      <x:c r="B34" s="3" t="n">
        <x:v>3</x:v>
      </x:c>
      <x:c r="C34" s="3" t="n">
        <x:v>10</x:v>
      </x:c>
      <x:c r="D34" s="3" t="str">
        <x:v>Before a download</x:v>
      </x:c>
      <x:c r="E34" s="3" t="str">
        <x:v>A pop-up says, “Download this to win!” What should you do first? Tick one.</x:v>
      </x:c>
      <x:c r="F34" s="3" t="str">
        <x:v>Select: Ask my grown-up before clicking..</x:v>
      </x:c>
      <x:c r="G34" s="3" t="str">
        <x:v>D1.1</x:v>
      </x:c>
      <x:c r="H34" s="3" t="str">
        <x:v>Personal safety</x:v>
      </x:c>
    </x:row>
    <x:row r="35" ht="155" customHeight="1">
      <x:c r="A35" s="3" t="n">
        <x:v>2</x:v>
      </x:c>
      <x:c r="B35" s="3" t="n">
        <x:v>4</x:v>
      </x:c>
      <x:c r="C35" s="3" t="n">
        <x:v>1</x:v>
      </x:c>
      <x:c r="D35" s="3" t="str">
        <x:v>Make a lunch plate</x:v>
      </x:c>
      <x:c r="E35" s="3" t="str">
        <x:v>Make a plate you like!
Shuffle to see more foods. Drag a food to its part of the plate, or tap the food and then its part.
What could you drink with lunch? Tick one.</x:v>
      </x:c>
      <x:c r="F3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</x:v>
      </x:c>
      <x:c r="G35" s="3" t="str">
        <x:v>D2.1, D2.2</x:v>
      </x:c>
      <x:c r="H35" s="3" t="str"/>
    </x:row>
    <x:row r="36" ht="155" customHeight="1">
      <x:c r="A36" s="3" t="n">
        <x:v>2</x:v>
      </x:c>
      <x:c r="B36" s="3" t="n">
        <x:v>4</x:v>
      </x:c>
      <x:c r="C36" s="3" t="n">
        <x:v>2</x:v>
      </x:c>
      <x:c r="D36" s="3" t="str">
        <x:v>Finish a lunch</x:v>
      </x:c>
      <x:c r="E36" s="3" t="str">
        <x:v>Lunch already has fruit and vegetables. Tick ONE whole-grain food and ONE protein food.</x:v>
      </x:c>
      <x:c r="F36" s="3" t="str">
        <x:v>Select one whole-grain food (bread or brown rice) and one protein food (egg or kidney beans).</x:v>
      </x:c>
      <x:c r="G36" s="3" t="str">
        <x:v>D2.2</x:v>
      </x:c>
      <x:c r="H36" s="3" t="str"/>
    </x:row>
    <x:row r="37" ht="155" customHeight="1">
      <x:c r="A37" s="3" t="n">
        <x:v>2</x:v>
      </x:c>
      <x:c r="B37" s="3" t="n">
        <x:v>4</x:v>
      </x:c>
      <x:c r="C37" s="3" t="n">
        <x:v>3</x:v>
      </x:c>
      <x:c r="D37" s="3" t="str">
        <x:v>Your own toothbrush</x:v>
      </x:c>
      <x:c r="E37" s="3" t="str">
        <x:v>Your toothbrush is beside someone else’s. What should you do? Tick one.</x:v>
      </x:c>
      <x:c r="F37" s="3" t="str">
        <x:v>Select: Use my own toothbrush..</x:v>
      </x:c>
      <x:c r="G37" s="3" t="str">
        <x:v>D2.4</x:v>
      </x:c>
      <x:c r="H37" s="3" t="str">
        <x:v>Oral health</x:v>
      </x:c>
    </x:row>
    <x:row r="38" ht="155" customHeight="1">
      <x:c r="A38" s="3" t="n">
        <x:v>2</x:v>
      </x:c>
      <x:c r="B38" s="3" t="n">
        <x:v>4</x:v>
      </x:c>
      <x:c r="C38" s="3" t="n">
        <x:v>4</x:v>
      </x:c>
      <x:c r="D38" s="3" t="str">
        <x:v>Look after your teeth</x:v>
      </x:c>
      <x:c r="E38" s="3" t="str">
        <x:v>You can sip water or a sugary drink between meals. Which choice is kinder to your teeth? Tick one.</x:v>
      </x:c>
      <x:c r="F38" s="3" t="str">
        <x:v>Select: Water..</x:v>
      </x:c>
      <x:c r="G38" s="3" t="str">
        <x:v>D2.4</x:v>
      </x:c>
      <x:c r="H38" s="3" t="str">
        <x:v>Oral health</x:v>
      </x:c>
    </x:row>
    <x:row r="39" ht="155" customHeight="1">
      <x:c r="A39" s="3" t="n">
        <x:v>2</x:v>
      </x:c>
      <x:c r="B39" s="3" t="n">
        <x:v>4</x:v>
      </x:c>
      <x:c r="C39" s="3" t="n">
        <x:v>5</x:v>
      </x:c>
      <x:c r="D39" s="3" t="str">
        <x:v>Keep a clear path</x:v>
      </x:c>
      <x:c r="E39" s="3" t="str">
        <x:v>There are toys on the stairs. What helps keep people safe? Tick one.</x:v>
      </x:c>
      <x:c r="F39" s="3" t="str">
        <x:v>Select: Ask a grown-up to help move the toys off the stairs..</x:v>
      </x:c>
      <x:c r="G39" s="3" t="str">
        <x:v>D1.1</x:v>
      </x:c>
      <x:c r="H39" s="3" t="str">
        <x:v>Personal safety</x:v>
      </x:c>
    </x:row>
    <x:row r="40" ht="155" customHeight="1">
      <x:c r="A40" s="3" t="n">
        <x:v>2</x:v>
      </x:c>
      <x:c r="B40" s="3" t="n">
        <x:v>4</x:v>
      </x:c>
      <x:c r="C40" s="3" t="n">
        <x:v>6</x:v>
      </x:c>
      <x:c r="D40" s="3" t="str">
        <x:v>Check food allergies</x:v>
      </x:c>
      <x:c r="E40" s="3" t="str">
        <x:v>A grown-up says a snack is not safe for your allergy. What should you do? Tick one.</x:v>
      </x:c>
      <x:c r="F40" s="3" t="str">
        <x:v>Select: Ask a trusted grown-up to check and find a safe choice..</x:v>
      </x:c>
      <x:c r="G40" s="3" t="str">
        <x:v>D1.2</x:v>
      </x:c>
      <x:c r="H40" s="3" t="str">
        <x:v>Personal safety</x:v>
      </x:c>
    </x:row>
    <x:row r="41" ht="155" customHeight="1">
      <x:c r="A41" s="3" t="n">
        <x:v>2</x:v>
      </x:c>
      <x:c r="B41" s="3" t="n">
        <x:v>4</x:v>
      </x:c>
      <x:c r="C41" s="3" t="n">
        <x:v>7</x:v>
      </x:c>
      <x:c r="D41" s="3" t="str">
        <x:v>Stop when asked</x:v>
      </x:c>
      <x:c r="E41" s="3" t="str">
        <x:v>A friend says, “Please stop tickling me.” What should you do? Tick one.</x:v>
      </x:c>
      <x:c r="F41" s="3" t="str">
        <x:v>Select: Stop right away..</x:v>
      </x:c>
      <x:c r="G41" s="3" t="str">
        <x:v>D2.3</x:v>
      </x:c>
      <x:c r="H41" s="3" t="str">
        <x:v>Personal safety</x:v>
      </x:c>
    </x:row>
    <x:row r="42" ht="155" customHeight="1">
      <x:c r="A42" s="3" t="n">
        <x:v>2</x:v>
      </x:c>
      <x:c r="B42" s="3" t="n">
        <x:v>4</x:v>
      </x:c>
      <x:c r="C42" s="3" t="n">
        <x:v>8</x:v>
      </x:c>
      <x:c r="D42" s="3" t="str">
        <x:v>A change of plans</x:v>
      </x:c>
      <x:c r="E42" s="3" t="str">
        <x:v>Your plans change and you feel upset. What could help? Tick two.</x:v>
      </x:c>
      <x:c r="F42" s="3" t="str">
        <x:v>Select: Tell a trusted grown-up what is bothering me.; Take a little break with support..</x:v>
      </x:c>
      <x:c r="G42" s="3" t="str">
        <x:v>D1.6, D2.5</x:v>
      </x:c>
      <x:c r="H42" s="3" t="str"/>
    </x:row>
    <x:row r="43" ht="155" customHeight="1">
      <x:c r="A43" s="3" t="n">
        <x:v>2</x:v>
      </x:c>
      <x:c r="B43" s="3" t="n">
        <x:v>4</x:v>
      </x:c>
      <x:c r="C43" s="3" t="n">
        <x:v>9</x:v>
      </x:c>
      <x:c r="D43" s="3" t="str">
        <x:v>Ask about a family food</x:v>
      </x:c>
      <x:c r="E43" s="3" t="str">
        <x:v>A friend brings a food you do not know. What could you say? Tick one.</x:v>
      </x:c>
      <x:c r="F43" s="3" t="str">
        <x:v>Select: “Would you like to tell me about your food?”.</x:v>
      </x:c>
      <x:c r="G43" s="3" t="str">
        <x:v>D3.1, D2.2</x:v>
      </x:c>
      <x:c r="H43" s="3" t="str"/>
    </x:row>
    <x:row r="44" ht="155" customHeight="1">
      <x:c r="A44" s="3" t="n">
        <x:v>2</x:v>
      </x:c>
      <x:c r="B44" s="3" t="n">
        <x:v>4</x:v>
      </x:c>
      <x:c r="C44" s="3" t="n">
        <x:v>10</x:v>
      </x:c>
      <x:c r="D44" s="3" t="str">
        <x:v>An online photo</x:v>
      </x:c>
      <x:c r="E44" s="3" t="str">
        <x:v>Someone online asks you to send a photo. What should you do? Tick one.</x:v>
      </x:c>
      <x:c r="F44" s="3" t="str">
        <x:v>Select: Check with my trusted grown-up..</x:v>
      </x:c>
      <x:c r="G44" s="3" t="str">
        <x:v>D1.1</x:v>
      </x:c>
      <x:c r="H44" s="3" t="str">
        <x:v>Personal safety</x:v>
      </x:c>
    </x:row>
    <x:row r="45" ht="155" customHeight="1">
      <x:c r="A45" s="3" t="n">
        <x:v>2</x:v>
      </x:c>
      <x:c r="B45" s="3" t="n">
        <x:v>5</x:v>
      </x:c>
      <x:c r="C45" s="3" t="n">
        <x:v>1</x:v>
      </x:c>
      <x:c r="D45" s="3" t="str">
        <x:v>Make a lunch plate</x:v>
      </x:c>
      <x:c r="E45" s="3" t="str">
        <x:v>Make a plate you like!
Shuffle to see more foods. Drag a food to its part of the plate, or tap the food and then its part.
What could you drink with lunch? Tick one.</x:v>
      </x:c>
      <x:c r="F4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</x:v>
      </x:c>
      <x:c r="G45" s="3" t="str">
        <x:v>D2.1, D2.2</x:v>
      </x:c>
      <x:c r="H45" s="3" t="str"/>
    </x:row>
    <x:row r="46" ht="155" customHeight="1">
      <x:c r="A46" s="3" t="n">
        <x:v>2</x:v>
      </x:c>
      <x:c r="B46" s="3" t="n">
        <x:v>5</x:v>
      </x:c>
      <x:c r="C46" s="3" t="n">
        <x:v>2</x:v>
      </x:c>
      <x:c r="D46" s="3" t="str">
        <x:v>Finish a lunch</x:v>
      </x:c>
      <x:c r="E46" s="3" t="str">
        <x:v>Lunch already has fruit and vegetables. Tick ONE whole-grain food and ONE protein food.</x:v>
      </x:c>
      <x:c r="F46" s="3" t="str">
        <x:v>Select one whole-grain food (bread or brown rice) and one protein food (egg or kidney beans).</x:v>
      </x:c>
      <x:c r="G46" s="3" t="str">
        <x:v>D2.2</x:v>
      </x:c>
      <x:c r="H46" s="3" t="str"/>
    </x:row>
    <x:row r="47" ht="155" customHeight="1">
      <x:c r="A47" s="3" t="n">
        <x:v>2</x:v>
      </x:c>
      <x:c r="B47" s="3" t="n">
        <x:v>5</x:v>
      </x:c>
      <x:c r="C47" s="3" t="n">
        <x:v>3</x:v>
      </x:c>
      <x:c r="D47" s="3" t="str">
        <x:v>Teeth need care</x:v>
      </x:c>
      <x:c r="E47" s="3" t="str">
        <x:v>Your tooth hurts when you eat. What should you do? Tick one.</x:v>
      </x:c>
      <x:c r="F47" s="3" t="str">
        <x:v>Select: Tell a grown-up so I can get help..</x:v>
      </x:c>
      <x:c r="G47" s="3" t="str">
        <x:v>D2.4</x:v>
      </x:c>
      <x:c r="H47" s="3" t="str">
        <x:v>Oral health</x:v>
      </x:c>
    </x:row>
    <x:row r="48" ht="155" customHeight="1">
      <x:c r="A48" s="3" t="n">
        <x:v>2</x:v>
      </x:c>
      <x:c r="B48" s="3" t="n">
        <x:v>5</x:v>
      </x:c>
      <x:c r="C48" s="3" t="n">
        <x:v>4</x:v>
      </x:c>
      <x:c r="D48" s="3" t="str">
        <x:v>Choose water</x:v>
      </x:c>
      <x:c r="E48" s="3" t="str">
        <x:v>You feel thirsty after a game. Pick water as your everyday drink.</x:v>
      </x:c>
      <x:c r="F48" s="3" t="str">
        <x:v>Select: Water..</x:v>
      </x:c>
      <x:c r="G48" s="3" t="str">
        <x:v>D2.4</x:v>
      </x:c>
      <x:c r="H48" s="3" t="str">
        <x:v>Oral health</x:v>
      </x:c>
    </x:row>
    <x:row r="49" ht="155" customHeight="1">
      <x:c r="A49" s="3" t="n">
        <x:v>2</x:v>
      </x:c>
      <x:c r="B49" s="3" t="n">
        <x:v>5</x:v>
      </x:c>
      <x:c r="C49" s="3" t="n">
        <x:v>5</x:v>
      </x:c>
      <x:c r="D49" s="3" t="str">
        <x:v>Use a helmet</x:v>
      </x:c>
      <x:c r="E49" s="3" t="str">
        <x:v>You are getting ready to ride your bike. What helps protect your head? Tick one.</x:v>
      </x:c>
      <x:c r="F49" s="3" t="str">
        <x:v>Select: Wear a properly fitted bike helmet..</x:v>
      </x:c>
      <x:c r="G49" s="3" t="str">
        <x:v>D1.1</x:v>
      </x:c>
      <x:c r="H49" s="3" t="str">
        <x:v>Personal safety</x:v>
      </x:c>
    </x:row>
    <x:row r="50" ht="155" customHeight="1">
      <x:c r="A50" s="3" t="n">
        <x:v>2</x:v>
      </x:c>
      <x:c r="B50" s="3" t="n">
        <x:v>5</x:v>
      </x:c>
      <x:c r="C50" s="3" t="n">
        <x:v>6</x:v>
      </x:c>
      <x:c r="D50" s="3" t="str">
        <x:v>Check food allergies</x:v>
      </x:c>
      <x:c r="E50" s="3" t="str">
        <x:v>You do not know whether a food is safe for your allergy. What should you do? Tick one.</x:v>
      </x:c>
      <x:c r="F50" s="3" t="str">
        <x:v>Select: Ask a trusted grown-up to check and find a safe choice..</x:v>
      </x:c>
      <x:c r="G50" s="3" t="str">
        <x:v>D1.2</x:v>
      </x:c>
      <x:c r="H50" s="3" t="str">
        <x:v>Personal safety</x:v>
      </x:c>
    </x:row>
    <x:row r="51" ht="155" customHeight="1">
      <x:c r="A51" s="3" t="n">
        <x:v>2</x:v>
      </x:c>
      <x:c r="B51" s="3" t="n">
        <x:v>5</x:v>
      </x:c>
      <x:c r="C51" s="3" t="n">
        <x:v>7</x:v>
      </x:c>
      <x:c r="D51" s="3" t="str">
        <x:v>Ask before a photo</x:v>
      </x:c>
      <x:c r="E51" s="3" t="str">
        <x:v>You want to take a photo of a friend. What should you do? Tick one.</x:v>
      </x:c>
      <x:c r="F51" s="3" t="str">
        <x:v>Select: Ask first and respect their answer..</x:v>
      </x:c>
      <x:c r="G51" s="3" t="str">
        <x:v>D2.3</x:v>
      </x:c>
      <x:c r="H51" s="3" t="str">
        <x:v>Personal safety</x:v>
      </x:c>
    </x:row>
    <x:row r="52" ht="155" customHeight="1">
      <x:c r="A52" s="3" t="n">
        <x:v>2</x:v>
      </x:c>
      <x:c r="B52" s="3" t="n">
        <x:v>5</x:v>
      </x:c>
      <x:c r="C52" s="3" t="n">
        <x:v>8</x:v>
      </x:c>
      <x:c r="D52" s="3" t="str">
        <x:v>A friend needs support</x:v>
      </x:c>
      <x:c r="E52" s="3" t="str">
        <x:v>A friend looks worried and asks for help. What is a kind choice? Tick one.</x:v>
      </x:c>
      <x:c r="F52" s="3" t="str">
        <x:v>Select: Help them find a trusted grown-up..</x:v>
      </x:c>
      <x:c r="G52" s="3" t="str">
        <x:v>D1.6, D2.5</x:v>
      </x:c>
      <x:c r="H52" s="3" t="str"/>
    </x:row>
    <x:row r="53" ht="155" customHeight="1">
      <x:c r="A53" s="3" t="n">
        <x:v>2</x:v>
      </x:c>
      <x:c r="B53" s="3" t="n">
        <x:v>5</x:v>
      </x:c>
      <x:c r="C53" s="3" t="n">
        <x:v>9</x:v>
      </x:c>
      <x:c r="D53" s="3" t="str">
        <x:v>Plan foods together</x:v>
      </x:c>
      <x:c r="E53" s="3" t="str">
        <x:v>Your family is planning a meal. What should you think about? Tick two.</x:v>
      </x:c>
      <x:c r="F53" s="3" t="str">
        <x:v>Select: Foods people in our family enjoy.; Foods people can eat and we can get..</x:v>
      </x:c>
      <x:c r="G53" s="3" t="str">
        <x:v>D3.1, D2.2</x:v>
      </x:c>
      <x:c r="H53" s="3" t="str"/>
    </x:row>
    <x:row r="54" ht="155" customHeight="1">
      <x:c r="A54" s="3" t="n">
        <x:v>2</x:v>
      </x:c>
      <x:c r="B54" s="3" t="n">
        <x:v>5</x:v>
      </x:c>
      <x:c r="C54" s="3" t="n">
        <x:v>10</x:v>
      </x:c>
      <x:c r="D54" s="3" t="str">
        <x:v>Keep passwords private</x:v>
      </x:c>
      <x:c r="E54" s="3" t="str">
        <x:v>A person in a game asks for your password. What should you do? Tick one.</x:v>
      </x:c>
      <x:c r="F54" s="3" t="str">
        <x:v>Select: Keep it private and tell my grown-up..</x:v>
      </x:c>
      <x:c r="G54" s="3" t="str">
        <x:v>D1.1</x:v>
      </x:c>
      <x:c r="H54" s="3" t="str">
        <x:v>Personal safety</x:v>
      </x:c>
    </x:row>
    <x:row r="55" ht="155" customHeight="1">
      <x:c r="A55" s="3" t="n">
        <x:v>3</x:v>
      </x:c>
      <x:c r="B55" s="3" t="n">
        <x:v>1</x:v>
      </x:c>
      <x:c r="C55" s="3" t="n">
        <x:v>1</x:v>
      </x:c>
      <x:c r="D55" s="3" t="str">
        <x:v>Make a lunch plate</x:v>
      </x:c>
      <x:c r="E55" s="3" t="str">
        <x:v>Make a plate you like!
Shuffle to see more foods. Drag a food to its part of the plate, or tap the food and then its part.
Tick water and a correct idea about where food comes from or how it is made.</x:v>
      </x:c>
      <x:c r="F5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 Also select: Whole-grain foods come from plants.</x:v>
      </x:c>
      <x:c r="G55" s="3" t="str">
        <x:v>D1.1</x:v>
      </x:c>
      <x:c r="H55" s="3" t="str"/>
    </x:row>
    <x:row r="56" ht="155" customHeight="1">
      <x:c r="A56" s="3" t="n">
        <x:v>3</x:v>
      </x:c>
      <x:c r="B56" s="3" t="n">
        <x:v>1</x:v>
      </x:c>
      <x:c r="C56" s="3" t="n">
        <x:v>2</x:v>
      </x:c>
      <x:c r="D56" s="3" t="str">
        <x:v>What happened to these foods?</x:v>
      </x:c>
      <x:c r="E56" s="3" t="str">
        <x:v>Read the clues on the cards.
Little changed: washed, frozen or pasteurized.
Processed: basic ingredients added, such as salt.
Ultra-processed: factory recipes with ingredients such as added colours and flavours.
Move each card to its group.
Choose a useful effect of processing.</x:v>
      </x:c>
      <x:c r="F56" s="3" t="str">
        <x:v>Apple — fresh, washed fruit → Little changed; Frozen vegetables — vegetables only, frozen → Little changed; Canned beans — beans, water and salt → Processed: basic ingredients added; Soda — water, sugar, flavour and colour → Ultra-processed: factory recipes. Select: Freezing vegetables can help them keep.</x:v>
      </x:c>
      <x:c r="G56" s="3" t="str">
        <x:v>D1.1</x:v>
      </x:c>
      <x:c r="H56" s="3" t="str"/>
    </x:row>
    <x:row r="57" ht="155" customHeight="1">
      <x:c r="A57" s="3" t="n">
        <x:v>3</x:v>
      </x:c>
      <x:c r="B57" s="3" t="n">
        <x:v>1</x:v>
      </x:c>
      <x:c r="C57" s="3" t="n">
        <x:v>3</x:v>
      </x:c>
      <x:c r="D57" s="3" t="str">
        <x:v>Brush morning and night</x:v>
      </x:c>
      <x:c r="E57" s="3" t="str">
        <x:v>It is bedtime. You brushed this morning. What should you do now? Tick one.</x:v>
      </x:c>
      <x:c r="F57" s="3" t="str">
        <x:v>Select: Brush again with fluoride toothpaste..</x:v>
      </x:c>
      <x:c r="G57" s="3" t="str">
        <x:v>D2.1</x:v>
      </x:c>
      <x:c r="H57" s="3" t="str">
        <x:v>Oral health</x:v>
      </x:c>
    </x:row>
    <x:row r="58" ht="155" customHeight="1">
      <x:c r="A58" s="3" t="n">
        <x:v>3</x:v>
      </x:c>
      <x:c r="B58" s="3" t="n">
        <x:v>1</x:v>
      </x:c>
      <x:c r="C58" s="3" t="n">
        <x:v>4</x:v>
      </x:c>
      <x:c r="D58" s="3" t="str">
        <x:v>Water with a snack</x:v>
      </x:c>
      <x:c r="E58" s="3" t="str">
        <x:v>You feel thirsty after playing. Which everyday drink has no added sugar? Tick water.</x:v>
      </x:c>
      <x:c r="F58" s="3" t="str">
        <x:v>Select: Water..</x:v>
      </x:c>
      <x:c r="G58" s="3" t="str">
        <x:v>D2.1</x:v>
      </x:c>
      <x:c r="H58" s="3" t="str">
        <x:v>Oral health</x:v>
      </x:c>
    </x:row>
    <x:row r="59" ht="155" customHeight="1">
      <x:c r="A59" s="3" t="n">
        <x:v>3</x:v>
      </x:c>
      <x:c r="B59" s="3" t="n">
        <x:v>1</x:v>
      </x:c>
      <x:c r="C59" s="3" t="n">
        <x:v>5</x:v>
      </x:c>
      <x:c r="D59" s="3" t="str">
        <x:v>Cut a snack safely</x:v>
      </x:c>
      <x:c r="E59" s="3" t="str">
        <x:v>You want cucumber slices. Who should use the sharp kitchen knife? Tick one.</x:v>
      </x:c>
      <x:c r="F59" s="3" t="str">
        <x:v>Select: Ask a grown-up to cut the cucumber..</x:v>
      </x:c>
      <x:c r="G59" s="3" t="str">
        <x:v>D2.2</x:v>
      </x:c>
      <x:c r="H59" s="3" t="str">
        <x:v>Personal safety</x:v>
      </x:c>
    </x:row>
    <x:row r="60" ht="155" customHeight="1">
      <x:c r="A60" s="3" t="n">
        <x:v>3</x:v>
      </x:c>
      <x:c r="B60" s="3" t="n">
        <x:v>1</x:v>
      </x:c>
      <x:c r="C60" s="3" t="n">
        <x:v>6</x:v>
      </x:c>
      <x:c r="D60" s="3" t="str">
        <x:v>After a head bump</x:v>
      </x:c>
      <x:c r="E60" s="3" t="str">
        <x:v>A friend bumps their head and feels dizzy. What should happen next? Tick one.</x:v>
      </x:c>
      <x:c r="F60" s="3" t="str">
        <x:v>Select: Stop playing and tell a trusted grown-up right away..</x:v>
      </x:c>
      <x:c r="G60" s="3" t="str">
        <x:v>D1.2</x:v>
      </x:c>
      <x:c r="H60" s="3" t="str">
        <x:v>Personal safety</x:v>
      </x:c>
    </x:row>
    <x:row r="61" ht="155" customHeight="1">
      <x:c r="A61" s="3" t="n">
        <x:v>3</x:v>
      </x:c>
      <x:c r="B61" s="3" t="n">
        <x:v>1</x:v>
      </x:c>
      <x:c r="C61" s="3" t="n">
        <x:v>7</x:v>
      </x:c>
      <x:c r="D61" s="3" t="str">
        <x:v>Listen to “no”</x:v>
      </x:c>
      <x:c r="E61" s="3" t="str">
        <x:v>You ask your friend for a hug. Your friend says, “No, thanks.” What should you do? Tick one.</x:v>
      </x:c>
      <x:c r="F61" s="3" t="str">
        <x:v>Select: Respect the answer and give them space..</x:v>
      </x:c>
      <x:c r="G61" s="3" t="str">
        <x:v>D1.4</x:v>
      </x:c>
      <x:c r="H61" s="3" t="str">
        <x:v>Personal safety</x:v>
      </x:c>
    </x:row>
    <x:row r="62" ht="155" customHeight="1">
      <x:c r="A62" s="3" t="n">
        <x:v>3</x:v>
      </x:c>
      <x:c r="B62" s="3" t="n">
        <x:v>1</x:v>
      </x:c>
      <x:c r="C62" s="3" t="n">
        <x:v>8</x:v>
      </x:c>
      <x:c r="D62" s="3" t="str">
        <x:v>A worried tummy</x:v>
      </x:c>
      <x:c r="E62" s="3" t="str">
        <x:v>You are waiting for your turn to speak. Your tummy feels fluttery. What could help? Tick two.</x:v>
      </x:c>
      <x:c r="F62" s="3" t="str">
        <x:v>Select: Take a slow breath.; Tell a trusted grown-up how I feel..</x:v>
      </x:c>
      <x:c r="G62" s="3" t="str">
        <x:v>D1.6, D3.4</x:v>
      </x:c>
      <x:c r="H62" s="3" t="str"/>
    </x:row>
    <x:row r="63" ht="155" customHeight="1">
      <x:c r="A63" s="3" t="n">
        <x:v>3</x:v>
      </x:c>
      <x:c r="B63" s="3" t="n">
        <x:v>1</x:v>
      </x:c>
      <x:c r="C63" s="3" t="n">
        <x:v>9</x:v>
      </x:c>
      <x:c r="D63" s="3" t="str">
        <x:v>Different lunches</x:v>
      </x:c>
      <x:c r="E63" s="3" t="str">
        <x:v>Your friend brings rice and beans. You bring a sandwich. What is a kind thing to say? Tick one.</x:v>
      </x:c>
      <x:c r="F63" s="3" t="str">
        <x:v>Select: Families enjoy different foods. Both lunches are welcome..</x:v>
      </x:c>
      <x:c r="G63" s="3" t="str">
        <x:v>D3.1</x:v>
      </x:c>
      <x:c r="H63" s="3" t="str"/>
    </x:row>
    <x:row r="64" ht="155" customHeight="1">
      <x:c r="A64" s="3" t="n">
        <x:v>3</x:v>
      </x:c>
      <x:c r="B64" s="3" t="n">
        <x:v>1</x:v>
      </x:c>
      <x:c r="C64" s="3" t="n">
        <x:v>10</x:v>
      </x:c>
      <x:c r="D64" s="3" t="str">
        <x:v>Check before clicking</x:v>
      </x:c>
      <x:c r="E64" s="3" t="str">
        <x:v>A game has a button asking for your name and address. What should you do? Tick one.</x:v>
      </x:c>
      <x:c r="F64" s="3" t="str">
        <x:v>Select: Stop and ask my grown-up..</x:v>
      </x:c>
      <x:c r="G64" s="3" t="str">
        <x:v>D2.2</x:v>
      </x:c>
      <x:c r="H64" s="3" t="str">
        <x:v>Personal safety</x:v>
      </x:c>
    </x:row>
    <x:row r="65" ht="155" customHeight="1">
      <x:c r="A65" s="3" t="n">
        <x:v>3</x:v>
      </x:c>
      <x:c r="B65" s="3" t="n">
        <x:v>2</x:v>
      </x:c>
      <x:c r="C65" s="3" t="n">
        <x:v>1</x:v>
      </x:c>
      <x:c r="D65" s="3" t="str">
        <x:v>Make a lunch plate</x:v>
      </x:c>
      <x:c r="E65" s="3" t="str">
        <x:v>Make a plate you like!
Shuffle to see more foods. Drag a food to its part of the plate, or tap the food and then its part.
Tick water and a correct idea about where food comes from or how it is made.</x:v>
      </x:c>
      <x:c r="F6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 Also select: Whole-grain foods come from plants.</x:v>
      </x:c>
      <x:c r="G65" s="3" t="str">
        <x:v>D1.1</x:v>
      </x:c>
      <x:c r="H65" s="3" t="str"/>
    </x:row>
    <x:row r="66" ht="155" customHeight="1">
      <x:c r="A66" s="3" t="n">
        <x:v>3</x:v>
      </x:c>
      <x:c r="B66" s="3" t="n">
        <x:v>2</x:v>
      </x:c>
      <x:c r="C66" s="3" t="n">
        <x:v>2</x:v>
      </x:c>
      <x:c r="D66" s="3" t="str">
        <x:v>What happened to these foods?</x:v>
      </x:c>
      <x:c r="E66" s="3" t="str">
        <x:v>Read the clues on the cards.
Little changed: washed, frozen or pasteurized.
Processed: basic ingredients added, such as salt.
Ultra-processed: factory recipes with ingredients such as added colours and flavours.
Move each card to its group.
Choose a useful effect of processing.</x:v>
      </x:c>
      <x:c r="F66" s="3" t="str">
        <x:v>Pear — fresh, washed fruit → Little changed; Milk — plain milk, pasteurized → Little changed; Cheese — milk, cultures and salt → Processed: basic ingredients added; Instant noodles — noodles with a seasoning mix and flavour enhancers → Ultra-processed: factory recipes. Select: Freezing vegetables can help them keep.</x:v>
      </x:c>
      <x:c r="G66" s="3" t="str">
        <x:v>D1.1</x:v>
      </x:c>
      <x:c r="H66" s="3" t="str"/>
    </x:row>
    <x:row r="67" ht="155" customHeight="1">
      <x:c r="A67" s="3" t="n">
        <x:v>3</x:v>
      </x:c>
      <x:c r="B67" s="3" t="n">
        <x:v>2</x:v>
      </x:c>
      <x:c r="C67" s="3" t="n">
        <x:v>3</x:v>
      </x:c>
      <x:c r="D67" s="3" t="str">
        <x:v>Make a brushing reminder</x:v>
      </x:c>
      <x:c r="E67" s="3" t="str">
        <x:v>You put a toothbrush picture by the bathroom mirror. How can it help? Tick one.</x:v>
      </x:c>
      <x:c r="F67" s="3" t="str">
        <x:v>Select: It can remind me to brush my teeth..</x:v>
      </x:c>
      <x:c r="G67" s="3" t="str">
        <x:v>D2.1</x:v>
      </x:c>
      <x:c r="H67" s="3" t="str">
        <x:v>Oral health</x:v>
      </x:c>
    </x:row>
    <x:row r="68" ht="155" customHeight="1">
      <x:c r="A68" s="3" t="n">
        <x:v>3</x:v>
      </x:c>
      <x:c r="B68" s="3" t="n">
        <x:v>2</x:v>
      </x:c>
      <x:c r="C68" s="3" t="n">
        <x:v>4</x:v>
      </x:c>
      <x:c r="D68" s="3" t="str">
        <x:v>Drink with lunch</x:v>
      </x:c>
      <x:c r="E68" s="3" t="str">
        <x:v>You are choosing a drink with lunch. Which choice is water? Tick one.</x:v>
      </x:c>
      <x:c r="F68" s="3" t="str">
        <x:v>Select: Water..</x:v>
      </x:c>
      <x:c r="G68" s="3" t="str">
        <x:v>D2.1</x:v>
      </x:c>
      <x:c r="H68" s="3" t="str">
        <x:v>Oral health</x:v>
      </x:c>
    </x:row>
    <x:row r="69" ht="155" customHeight="1">
      <x:c r="A69" s="3" t="n">
        <x:v>3</x:v>
      </x:c>
      <x:c r="B69" s="3" t="n">
        <x:v>2</x:v>
      </x:c>
      <x:c r="C69" s="3" t="n">
        <x:v>5</x:v>
      </x:c>
      <x:c r="D69" s="3" t="str">
        <x:v>Cross with a grown-up</x:v>
      </x:c>
      <x:c r="E69" s="3" t="str">
        <x:v>You and your grown-up need to cross a road. What should you do? Tick one.</x:v>
      </x:c>
      <x:c r="F69" s="3" t="str">
        <x:v>Select: Stay together and follow the crossing signals..</x:v>
      </x:c>
      <x:c r="G69" s="3" t="str">
        <x:v>D2.2</x:v>
      </x:c>
      <x:c r="H69" s="3" t="str">
        <x:v>Personal safety</x:v>
      </x:c>
    </x:row>
    <x:row r="70" ht="155" customHeight="1">
      <x:c r="A70" s="3" t="n">
        <x:v>3</x:v>
      </x:c>
      <x:c r="B70" s="3" t="n">
        <x:v>2</x:v>
      </x:c>
      <x:c r="C70" s="3" t="n">
        <x:v>6</x:v>
      </x:c>
      <x:c r="D70" s="3" t="str">
        <x:v>After a head bump</x:v>
      </x:c>
      <x:c r="E70" s="3" t="str">
        <x:v>You get a bump during a game. Now your head hurts. What should you do? Tick one.</x:v>
      </x:c>
      <x:c r="F70" s="3" t="str">
        <x:v>Select: Stop playing and tell a trusted grown-up right away..</x:v>
      </x:c>
      <x:c r="G70" s="3" t="str">
        <x:v>D1.2</x:v>
      </x:c>
      <x:c r="H70" s="3" t="str">
        <x:v>Personal safety</x:v>
      </x:c>
    </x:row>
    <x:row r="71" ht="155" customHeight="1">
      <x:c r="A71" s="3" t="n">
        <x:v>3</x:v>
      </x:c>
      <x:c r="B71" s="3" t="n">
        <x:v>2</x:v>
      </x:c>
      <x:c r="C71" s="3" t="n">
        <x:v>7</x:v>
      </x:c>
      <x:c r="D71" s="3" t="str">
        <x:v>Ask before borrowing</x:v>
      </x:c>
      <x:c r="E71" s="3" t="str">
        <x:v>You want to use your friend’s pencil case. What should you do first? Tick one.</x:v>
      </x:c>
      <x:c r="F71" s="3" t="str">
        <x:v>Select: Ask and wait for an answer..</x:v>
      </x:c>
      <x:c r="G71" s="3" t="str">
        <x:v>D1.4</x:v>
      </x:c>
      <x:c r="H71" s="3" t="str">
        <x:v>Personal safety</x:v>
      </x:c>
    </x:row>
    <x:row r="72" ht="155" customHeight="1">
      <x:c r="A72" s="3" t="n">
        <x:v>3</x:v>
      </x:c>
      <x:c r="B72" s="3" t="n">
        <x:v>2</x:v>
      </x:c>
      <x:c r="C72" s="3" t="n">
        <x:v>8</x:v>
      </x:c>
      <x:c r="D72" s="3" t="str">
        <x:v>A loud room</x:v>
      </x:c>
      <x:c r="E72" s="3" t="str">
        <x:v>The room gets very noisy. Your shoulders feel tight. What could help? Tick two.</x:v>
      </x:c>
      <x:c r="F72" s="3" t="str">
        <x:v>Select: Tell a grown-up the noise is bothering me.; Ask for a quieter place for a little while..</x:v>
      </x:c>
      <x:c r="G72" s="3" t="str">
        <x:v>D1.6, D3.4</x:v>
      </x:c>
      <x:c r="H72" s="3" t="str"/>
    </x:row>
    <x:row r="73" ht="155" customHeight="1">
      <x:c r="A73" s="3" t="n">
        <x:v>3</x:v>
      </x:c>
      <x:c r="B73" s="3" t="n">
        <x:v>2</x:v>
      </x:c>
      <x:c r="C73" s="3" t="n">
        <x:v>9</x:v>
      </x:c>
      <x:c r="D73" s="3" t="str">
        <x:v>Try or say no</x:v>
      </x:c>
      <x:c r="E73" s="3" t="str">
        <x:v>Someone offers you a food you have not tried. What is a kind, respectful choice? Tick one.</x:v>
      </x:c>
      <x:c r="F73" s="3" t="str">
        <x:v>Select: Say “Yes, please” or “No, thank you.”.</x:v>
      </x:c>
      <x:c r="G73" s="3" t="str">
        <x:v>D3.1</x:v>
      </x:c>
      <x:c r="H73" s="3" t="str"/>
    </x:row>
    <x:row r="74" ht="155" customHeight="1">
      <x:c r="A74" s="3" t="n">
        <x:v>3</x:v>
      </x:c>
      <x:c r="B74" s="3" t="n">
        <x:v>2</x:v>
      </x:c>
      <x:c r="C74" s="3" t="n">
        <x:v>10</x:v>
      </x:c>
      <x:c r="D74" s="3" t="str">
        <x:v>An upsetting message</x:v>
      </x:c>
      <x:c r="E74" s="3" t="str">
        <x:v>A message online makes you feel worried. What should you do? Tick one.</x:v>
      </x:c>
      <x:c r="F74" s="3" t="str">
        <x:v>Select: Show a trusted grown-up..</x:v>
      </x:c>
      <x:c r="G74" s="3" t="str">
        <x:v>D2.2</x:v>
      </x:c>
      <x:c r="H74" s="3" t="str">
        <x:v>Personal safety</x:v>
      </x:c>
    </x:row>
    <x:row r="75" ht="155" customHeight="1">
      <x:c r="A75" s="3" t="n">
        <x:v>3</x:v>
      </x:c>
      <x:c r="B75" s="3" t="n">
        <x:v>3</x:v>
      </x:c>
      <x:c r="C75" s="3" t="n">
        <x:v>1</x:v>
      </x:c>
      <x:c r="D75" s="3" t="str">
        <x:v>Make a lunch plate</x:v>
      </x:c>
      <x:c r="E75" s="3" t="str">
        <x:v>Make a plate you like!
Shuffle to see more foods. Drag a food to its part of the plate, or tap the food and then its part.
Tick water and a correct idea about where food comes from or how it is made.</x:v>
      </x:c>
      <x:c r="F7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 Also select: Whole-grain foods come from plants.</x:v>
      </x:c>
      <x:c r="G75" s="3" t="str">
        <x:v>D1.1</x:v>
      </x:c>
      <x:c r="H75" s="3" t="str"/>
    </x:row>
    <x:row r="76" ht="155" customHeight="1">
      <x:c r="A76" s="3" t="n">
        <x:v>3</x:v>
      </x:c>
      <x:c r="B76" s="3" t="n">
        <x:v>3</x:v>
      </x:c>
      <x:c r="C76" s="3" t="n">
        <x:v>2</x:v>
      </x:c>
      <x:c r="D76" s="3" t="str">
        <x:v>What happened to these foods?</x:v>
      </x:c>
      <x:c r="E76" s="3" t="str">
        <x:v>Read the clues on the cards.
Little changed: washed, frozen or pasteurized.
Processed: basic ingredients added, such as salt.
Ultra-processed: factory recipes with ingredients such as added colours and flavours.
Move each card to its group.
Choose a useful effect of processing.</x:v>
      </x:c>
      <x:c r="F76" s="3" t="str">
        <x:v>Orange — fresh, washed fruit → Little changed; Frozen vegetables — vegetables only, frozen → Little changed; Canned beans — beans, water and salt → Processed: basic ingredients added; Instant noodles — noodles with a seasoning mix and flavour enhancers → Ultra-processed: factory recipes. Select: Freezing vegetables can help them keep.</x:v>
      </x:c>
      <x:c r="G76" s="3" t="str">
        <x:v>D1.1</x:v>
      </x:c>
      <x:c r="H76" s="3" t="str"/>
    </x:row>
    <x:row r="77" ht="155" customHeight="1">
      <x:c r="A77" s="3" t="n">
        <x:v>3</x:v>
      </x:c>
      <x:c r="B77" s="3" t="n">
        <x:v>3</x:v>
      </x:c>
      <x:c r="C77" s="3" t="n">
        <x:v>3</x:v>
      </x:c>
      <x:c r="D77" s="3" t="str">
        <x:v>Clean every side</x:v>
      </x:c>
      <x:c r="E77" s="3" t="str">
        <x:v>You are brushing your teeth. Which parts need gentle brushing? Tick one.</x:v>
      </x:c>
      <x:c r="F77" s="3" t="str">
        <x:v>Select: The front, back and chewing sides of my teeth..</x:v>
      </x:c>
      <x:c r="G77" s="3" t="str">
        <x:v>D2.1</x:v>
      </x:c>
      <x:c r="H77" s="3" t="str">
        <x:v>Oral health</x:v>
      </x:c>
    </x:row>
    <x:row r="78" ht="155" customHeight="1">
      <x:c r="A78" s="3" t="n">
        <x:v>3</x:v>
      </x:c>
      <x:c r="B78" s="3" t="n">
        <x:v>3</x:v>
      </x:c>
      <x:c r="C78" s="3" t="n">
        <x:v>4</x:v>
      </x:c>
      <x:c r="D78" s="3" t="str">
        <x:v>Pack a water bottle</x:v>
      </x:c>
      <x:c r="E78" s="3" t="str">
        <x:v>You are going to the park. Which drink would you put in your water bottle? Tick one.</x:v>
      </x:c>
      <x:c r="F78" s="3" t="str">
        <x:v>Select: Water..</x:v>
      </x:c>
      <x:c r="G78" s="3" t="str">
        <x:v>D2.1</x:v>
      </x:c>
      <x:c r="H78" s="3" t="str">
        <x:v>Oral health</x:v>
      </x:c>
    </x:row>
    <x:row r="79" ht="155" customHeight="1">
      <x:c r="A79" s="3" t="n">
        <x:v>3</x:v>
      </x:c>
      <x:c r="B79" s="3" t="n">
        <x:v>3</x:v>
      </x:c>
      <x:c r="C79" s="3" t="n">
        <x:v>5</x:v>
      </x:c>
      <x:c r="D79" s="3" t="str">
        <x:v>Stay with your group</x:v>
      </x:c>
      <x:c r="E79" s="3" t="str">
        <x:v>Your class is at a park. You want to see something farther away. What should you do first? Tick one.</x:v>
      </x:c>
      <x:c r="F79" s="3" t="str">
        <x:v>Select: Ask the grown-up and stay with my group..</x:v>
      </x:c>
      <x:c r="G79" s="3" t="str">
        <x:v>D2.2</x:v>
      </x:c>
      <x:c r="H79" s="3" t="str">
        <x:v>Personal safety</x:v>
      </x:c>
    </x:row>
    <x:row r="80" ht="155" customHeight="1">
      <x:c r="A80" s="3" t="n">
        <x:v>3</x:v>
      </x:c>
      <x:c r="B80" s="3" t="n">
        <x:v>3</x:v>
      </x:c>
      <x:c r="C80" s="3" t="n">
        <x:v>6</x:v>
      </x:c>
      <x:c r="D80" s="3" t="str">
        <x:v>After a head bump</x:v>
      </x:c>
      <x:c r="E80" s="3" t="str">
        <x:v>After a fall, your friend says, “I do not feel right.” What should you do? Tick one.</x:v>
      </x:c>
      <x:c r="F80" s="3" t="str">
        <x:v>Select: Stop playing and tell a trusted grown-up right away..</x:v>
      </x:c>
      <x:c r="G80" s="3" t="str">
        <x:v>D1.2</x:v>
      </x:c>
      <x:c r="H80" s="3" t="str">
        <x:v>Personal safety</x:v>
      </x:c>
    </x:row>
    <x:row r="81" ht="155" customHeight="1">
      <x:c r="A81" s="3" t="n">
        <x:v>3</x:v>
      </x:c>
      <x:c r="B81" s="3" t="n">
        <x:v>3</x:v>
      </x:c>
      <x:c r="C81" s="3" t="n">
        <x:v>7</x:v>
      </x:c>
      <x:c r="D81" s="3" t="str">
        <x:v>Choose a game together</x:v>
      </x:c>
      <x:c r="E81" s="3" t="str">
        <x:v>Your friend does not want to play tag. What is a kind choice? Tick one.</x:v>
      </x:c>
      <x:c r="F81" s="3" t="str">
        <x:v>Select: Respect their choice and offer another game..</x:v>
      </x:c>
      <x:c r="G81" s="3" t="str">
        <x:v>D1.4</x:v>
      </x:c>
      <x:c r="H81" s="3" t="str">
        <x:v>Personal safety</x:v>
      </x:c>
    </x:row>
    <x:row r="82" ht="155" customHeight="1">
      <x:c r="A82" s="3" t="n">
        <x:v>3</x:v>
      </x:c>
      <x:c r="B82" s="3" t="n">
        <x:v>3</x:v>
      </x:c>
      <x:c r="C82" s="3" t="n">
        <x:v>8</x:v>
      </x:c>
      <x:c r="D82" s="3" t="str">
        <x:v>A tricky task</x:v>
      </x:c>
      <x:c r="E82" s="3" t="str">
        <x:v>You cannot get a puzzle piece to fit. You feel frustrated. What could help? Tick two.</x:v>
      </x:c>
      <x:c r="F82" s="3" t="str">
        <x:v>Select: Pause and take a slow breath.; Ask for help..</x:v>
      </x:c>
      <x:c r="G82" s="3" t="str">
        <x:v>D1.6, D3.4</x:v>
      </x:c>
      <x:c r="H82" s="3" t="str"/>
    </x:row>
    <x:row r="83" ht="155" customHeight="1">
      <x:c r="A83" s="3" t="n">
        <x:v>3</x:v>
      </x:c>
      <x:c r="B83" s="3" t="n">
        <x:v>3</x:v>
      </x:c>
      <x:c r="C83" s="3" t="n">
        <x:v>9</x:v>
      </x:c>
      <x:c r="D83" s="3" t="str">
        <x:v>Food from our community</x:v>
      </x:c>
      <x:c r="E83" s="3" t="str">
        <x:v>A family brings apples from a nearby farm. What does nearby mean? Tick one.</x:v>
      </x:c>
      <x:c r="F83" s="3" t="str">
        <x:v>Select: The farm is close to our community..</x:v>
      </x:c>
      <x:c r="G83" s="3" t="str">
        <x:v>D3.1</x:v>
      </x:c>
      <x:c r="H83" s="3" t="str"/>
    </x:row>
    <x:row r="84" ht="155" customHeight="1">
      <x:c r="A84" s="3" t="n">
        <x:v>3</x:v>
      </x:c>
      <x:c r="B84" s="3" t="n">
        <x:v>3</x:v>
      </x:c>
      <x:c r="C84" s="3" t="n">
        <x:v>10</x:v>
      </x:c>
      <x:c r="D84" s="3" t="str">
        <x:v>Before a download</x:v>
      </x:c>
      <x:c r="E84" s="3" t="str">
        <x:v>A pop-up says, “Download this to win!” What should you do first? Tick one.</x:v>
      </x:c>
      <x:c r="F84" s="3" t="str">
        <x:v>Select: Ask my grown-up before clicking..</x:v>
      </x:c>
      <x:c r="G84" s="3" t="str">
        <x:v>D2.2</x:v>
      </x:c>
      <x:c r="H84" s="3" t="str">
        <x:v>Personal safety</x:v>
      </x:c>
    </x:row>
    <x:row r="85" ht="155" customHeight="1">
      <x:c r="A85" s="3" t="n">
        <x:v>3</x:v>
      </x:c>
      <x:c r="B85" s="3" t="n">
        <x:v>4</x:v>
      </x:c>
      <x:c r="C85" s="3" t="n">
        <x:v>1</x:v>
      </x:c>
      <x:c r="D85" s="3" t="str">
        <x:v>Make a lunch plate</x:v>
      </x:c>
      <x:c r="E85" s="3" t="str">
        <x:v>Make a plate you like!
Shuffle to see more foods. Drag a food to its part of the plate, or tap the food and then its part.
Tick water and a correct idea about where food comes from or how it is made.</x:v>
      </x:c>
      <x:c r="F8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 Also select: Whole-grain foods come from plants.</x:v>
      </x:c>
      <x:c r="G85" s="3" t="str">
        <x:v>D1.1</x:v>
      </x:c>
      <x:c r="H85" s="3" t="str"/>
    </x:row>
    <x:row r="86" ht="155" customHeight="1">
      <x:c r="A86" s="3" t="n">
        <x:v>3</x:v>
      </x:c>
      <x:c r="B86" s="3" t="n">
        <x:v>4</x:v>
      </x:c>
      <x:c r="C86" s="3" t="n">
        <x:v>2</x:v>
      </x:c>
      <x:c r="D86" s="3" t="str">
        <x:v>What happened to these foods?</x:v>
      </x:c>
      <x:c r="E86" s="3" t="str">
        <x:v>Read the clues on the cards.
Little changed: washed, frozen or pasteurized.
Processed: basic ingredients added, such as salt.
Ultra-processed: factory recipes with ingredients such as added colours and flavours.
Move each card to its group.
Choose a useful effect of processing.</x:v>
      </x:c>
      <x:c r="F86" s="3" t="str">
        <x:v>Frozen vegetables — vegetables only, frozen → Little changed; Milk — plain milk, pasteurized → Little changed; Cheese — milk, cultures and salt → Processed: basic ingredients added; Soda — water, sugar, flavour and colour → Ultra-processed: factory recipes. Select: Freezing vegetables can help them keep.</x:v>
      </x:c>
      <x:c r="G86" s="3" t="str">
        <x:v>D1.1</x:v>
      </x:c>
      <x:c r="H86" s="3" t="str"/>
    </x:row>
    <x:row r="87" ht="155" customHeight="1">
      <x:c r="A87" s="3" t="n">
        <x:v>3</x:v>
      </x:c>
      <x:c r="B87" s="3" t="n">
        <x:v>4</x:v>
      </x:c>
      <x:c r="C87" s="3" t="n">
        <x:v>3</x:v>
      </x:c>
      <x:c r="D87" s="3" t="str">
        <x:v>Your own toothbrush</x:v>
      </x:c>
      <x:c r="E87" s="3" t="str">
        <x:v>Your toothbrush is beside someone else’s. What should you do? Tick one.</x:v>
      </x:c>
      <x:c r="F87" s="3" t="str">
        <x:v>Select: Use my own toothbrush..</x:v>
      </x:c>
      <x:c r="G87" s="3" t="str">
        <x:v>D2.1</x:v>
      </x:c>
      <x:c r="H87" s="3" t="str">
        <x:v>Oral health</x:v>
      </x:c>
    </x:row>
    <x:row r="88" ht="155" customHeight="1">
      <x:c r="A88" s="3" t="n">
        <x:v>3</x:v>
      </x:c>
      <x:c r="B88" s="3" t="n">
        <x:v>4</x:v>
      </x:c>
      <x:c r="C88" s="3" t="n">
        <x:v>4</x:v>
      </x:c>
      <x:c r="D88" s="3" t="str">
        <x:v>Look after your teeth</x:v>
      </x:c>
      <x:c r="E88" s="3" t="str">
        <x:v>You can sip water or a sugary drink between meals. Which choice is kinder to your teeth? Tick one.</x:v>
      </x:c>
      <x:c r="F88" s="3" t="str">
        <x:v>Select: Water..</x:v>
      </x:c>
      <x:c r="G88" s="3" t="str">
        <x:v>D2.1</x:v>
      </x:c>
      <x:c r="H88" s="3" t="str">
        <x:v>Oral health</x:v>
      </x:c>
    </x:row>
    <x:row r="89" ht="155" customHeight="1">
      <x:c r="A89" s="3" t="n">
        <x:v>3</x:v>
      </x:c>
      <x:c r="B89" s="3" t="n">
        <x:v>4</x:v>
      </x:c>
      <x:c r="C89" s="3" t="n">
        <x:v>5</x:v>
      </x:c>
      <x:c r="D89" s="3" t="str">
        <x:v>Keep a clear path</x:v>
      </x:c>
      <x:c r="E89" s="3" t="str">
        <x:v>There are toys on the stairs. What helps keep people safe? Tick one.</x:v>
      </x:c>
      <x:c r="F89" s="3" t="str">
        <x:v>Select: Ask a grown-up to help move the toys off the stairs..</x:v>
      </x:c>
      <x:c r="G89" s="3" t="str">
        <x:v>D2.2</x:v>
      </x:c>
      <x:c r="H89" s="3" t="str">
        <x:v>Personal safety</x:v>
      </x:c>
    </x:row>
    <x:row r="90" ht="155" customHeight="1">
      <x:c r="A90" s="3" t="n">
        <x:v>3</x:v>
      </x:c>
      <x:c r="B90" s="3" t="n">
        <x:v>4</x:v>
      </x:c>
      <x:c r="C90" s="3" t="n">
        <x:v>6</x:v>
      </x:c>
      <x:c r="D90" s="3" t="str">
        <x:v>After a head bump</x:v>
      </x:c>
      <x:c r="E90" s="3" t="str">
        <x:v>A friend hits their head and feels confused. What is the safe next step? Tick one.</x:v>
      </x:c>
      <x:c r="F90" s="3" t="str">
        <x:v>Select: Stop playing and tell a trusted grown-up right away..</x:v>
      </x:c>
      <x:c r="G90" s="3" t="str">
        <x:v>D1.2</x:v>
      </x:c>
      <x:c r="H90" s="3" t="str">
        <x:v>Personal safety</x:v>
      </x:c>
    </x:row>
    <x:row r="91" ht="155" customHeight="1">
      <x:c r="A91" s="3" t="n">
        <x:v>3</x:v>
      </x:c>
      <x:c r="B91" s="3" t="n">
        <x:v>4</x:v>
      </x:c>
      <x:c r="C91" s="3" t="n">
        <x:v>7</x:v>
      </x:c>
      <x:c r="D91" s="3" t="str">
        <x:v>Stop when asked</x:v>
      </x:c>
      <x:c r="E91" s="3" t="str">
        <x:v>A friend says, “Please stop tickling me.” What should you do? Tick one.</x:v>
      </x:c>
      <x:c r="F91" s="3" t="str">
        <x:v>Select: Stop right away..</x:v>
      </x:c>
      <x:c r="G91" s="3" t="str">
        <x:v>D1.4</x:v>
      </x:c>
      <x:c r="H91" s="3" t="str">
        <x:v>Personal safety</x:v>
      </x:c>
    </x:row>
    <x:row r="92" ht="155" customHeight="1">
      <x:c r="A92" s="3" t="n">
        <x:v>3</x:v>
      </x:c>
      <x:c r="B92" s="3" t="n">
        <x:v>4</x:v>
      </x:c>
      <x:c r="C92" s="3" t="n">
        <x:v>8</x:v>
      </x:c>
      <x:c r="D92" s="3" t="str">
        <x:v>A change of plans</x:v>
      </x:c>
      <x:c r="E92" s="3" t="str">
        <x:v>Your plans change and you feel upset. What could help? Tick two.</x:v>
      </x:c>
      <x:c r="F92" s="3" t="str">
        <x:v>Select: Tell a trusted grown-up what is bothering me.; Take a little break with support..</x:v>
      </x:c>
      <x:c r="G92" s="3" t="str">
        <x:v>D1.6, D3.4</x:v>
      </x:c>
      <x:c r="H92" s="3" t="str"/>
    </x:row>
    <x:row r="93" ht="155" customHeight="1">
      <x:c r="A93" s="3" t="n">
        <x:v>3</x:v>
      </x:c>
      <x:c r="B93" s="3" t="n">
        <x:v>4</x:v>
      </x:c>
      <x:c r="C93" s="3" t="n">
        <x:v>9</x:v>
      </x:c>
      <x:c r="D93" s="3" t="str">
        <x:v>Ask about a family food</x:v>
      </x:c>
      <x:c r="E93" s="3" t="str">
        <x:v>A friend brings a food you do not know. What could you say? Tick one.</x:v>
      </x:c>
      <x:c r="F93" s="3" t="str">
        <x:v>Select: “Would you like to tell me about your food?”.</x:v>
      </x:c>
      <x:c r="G93" s="3" t="str">
        <x:v>D3.1</x:v>
      </x:c>
      <x:c r="H93" s="3" t="str"/>
    </x:row>
    <x:row r="94" ht="155" customHeight="1">
      <x:c r="A94" s="3" t="n">
        <x:v>3</x:v>
      </x:c>
      <x:c r="B94" s="3" t="n">
        <x:v>4</x:v>
      </x:c>
      <x:c r="C94" s="3" t="n">
        <x:v>10</x:v>
      </x:c>
      <x:c r="D94" s="3" t="str">
        <x:v>An online photo</x:v>
      </x:c>
      <x:c r="E94" s="3" t="str">
        <x:v>Someone online asks you to send a photo. What should you do? Tick one.</x:v>
      </x:c>
      <x:c r="F94" s="3" t="str">
        <x:v>Select: Check with my trusted grown-up..</x:v>
      </x:c>
      <x:c r="G94" s="3" t="str">
        <x:v>D2.2</x:v>
      </x:c>
      <x:c r="H94" s="3" t="str">
        <x:v>Personal safety</x:v>
      </x:c>
    </x:row>
    <x:row r="95" ht="155" customHeight="1">
      <x:c r="A95" s="3" t="n">
        <x:v>3</x:v>
      </x:c>
      <x:c r="B95" s="3" t="n">
        <x:v>5</x:v>
      </x:c>
      <x:c r="C95" s="3" t="n">
        <x:v>1</x:v>
      </x:c>
      <x:c r="D95" s="3" t="str">
        <x:v>Make a lunch plate</x:v>
      </x:c>
      <x:c r="E95" s="3" t="str">
        <x:v>Make a plate you like!
Shuffle to see more foods. Drag a food to its part of the plate, or tap the food and then its part.
Tick water and a correct idea about where food comes from or how it is made.</x:v>
      </x:c>
      <x:c r="F95" s="3" t="str">
        <x:v>Accept any foods from the choice banks when each food is in its correct food-group section and all three sections have a choice. Children may swap their foods. Vegetables and fruit occupy the half; whole grains and protein foods occupy the quarters. Pictures represent food types, not serving counts. Select: Water. Also select: Whole-grain foods come from plants.</x:v>
      </x:c>
      <x:c r="G95" s="3" t="str">
        <x:v>D1.1</x:v>
      </x:c>
      <x:c r="H95" s="3" t="str"/>
    </x:row>
    <x:row r="96" ht="155" customHeight="1">
      <x:c r="A96" s="3" t="n">
        <x:v>3</x:v>
      </x:c>
      <x:c r="B96" s="3" t="n">
        <x:v>5</x:v>
      </x:c>
      <x:c r="C96" s="3" t="n">
        <x:v>2</x:v>
      </x:c>
      <x:c r="D96" s="3" t="str">
        <x:v>What happened to these foods?</x:v>
      </x:c>
      <x:c r="E96" s="3" t="str">
        <x:v>Read the clues on the cards.
Little changed: washed, frozen or pasteurized.
Processed: basic ingredients added, such as salt.
Ultra-processed: factory recipes with ingredients such as added colours and flavours.
Move each card to its group.
Choose a useful effect of processing.</x:v>
      </x:c>
      <x:c r="F96" s="3" t="str">
        <x:v>Peach — fresh, washed fruit → Little changed; Frozen vegetables — vegetables only, frozen → Little changed; Milk — plain milk, pasteurized → Little changed; Canned beans — beans, water and salt → Processed: basic ingredients added; Cheese — milk, cultures and salt → Processed: basic ingredients added; Soda — water, sugar, flavour and colour → Ultra-processed: factory recipes; Instant noodles — noodles with a seasoning mix and flavour enhancers → Ultra-processed: factory recipes; Sweet cereal — grain, sugar, flavour and colour → Ultra-processed: factory recipes. Select: Freezing vegetables can help them keep.</x:v>
      </x:c>
      <x:c r="G96" s="3" t="str">
        <x:v>D1.1</x:v>
      </x:c>
      <x:c r="H96" s="3" t="str"/>
    </x:row>
    <x:row r="97" ht="155" customHeight="1">
      <x:c r="A97" s="3" t="n">
        <x:v>3</x:v>
      </x:c>
      <x:c r="B97" s="3" t="n">
        <x:v>5</x:v>
      </x:c>
      <x:c r="C97" s="3" t="n">
        <x:v>3</x:v>
      </x:c>
      <x:c r="D97" s="3" t="str">
        <x:v>Teeth need care</x:v>
      </x:c>
      <x:c r="E97" s="3" t="str">
        <x:v>Your tooth hurts when you eat. What should you do? Tick one.</x:v>
      </x:c>
      <x:c r="F97" s="3" t="str">
        <x:v>Select: Tell a grown-up so I can get help..</x:v>
      </x:c>
      <x:c r="G97" s="3" t="str">
        <x:v>D2.1</x:v>
      </x:c>
      <x:c r="H97" s="3" t="str">
        <x:v>Oral health</x:v>
      </x:c>
    </x:row>
    <x:row r="98" ht="155" customHeight="1">
      <x:c r="A98" s="3" t="n">
        <x:v>3</x:v>
      </x:c>
      <x:c r="B98" s="3" t="n">
        <x:v>5</x:v>
      </x:c>
      <x:c r="C98" s="3" t="n">
        <x:v>4</x:v>
      </x:c>
      <x:c r="D98" s="3" t="str">
        <x:v>Choose water</x:v>
      </x:c>
      <x:c r="E98" s="3" t="str">
        <x:v>You feel thirsty after a game. Pick water as your everyday drink.</x:v>
      </x:c>
      <x:c r="F98" s="3" t="str">
        <x:v>Select: Water..</x:v>
      </x:c>
      <x:c r="G98" s="3" t="str">
        <x:v>D2.1</x:v>
      </x:c>
      <x:c r="H98" s="3" t="str">
        <x:v>Oral health</x:v>
      </x:c>
    </x:row>
    <x:row r="99" ht="155" customHeight="1">
      <x:c r="A99" s="3" t="n">
        <x:v>3</x:v>
      </x:c>
      <x:c r="B99" s="3" t="n">
        <x:v>5</x:v>
      </x:c>
      <x:c r="C99" s="3" t="n">
        <x:v>5</x:v>
      </x:c>
      <x:c r="D99" s="3" t="str">
        <x:v>Use a helmet</x:v>
      </x:c>
      <x:c r="E99" s="3" t="str">
        <x:v>You are getting ready to ride your bike. What helps protect your head? Tick one.</x:v>
      </x:c>
      <x:c r="F99" s="3" t="str">
        <x:v>Select: Wear a properly fitted bike helmet..</x:v>
      </x:c>
      <x:c r="G99" s="3" t="str">
        <x:v>D2.2</x:v>
      </x:c>
      <x:c r="H99" s="3" t="str">
        <x:v>Personal safety</x:v>
      </x:c>
    </x:row>
    <x:row r="100" ht="155" customHeight="1">
      <x:c r="A100" s="3" t="n">
        <x:v>3</x:v>
      </x:c>
      <x:c r="B100" s="3" t="n">
        <x:v>5</x:v>
      </x:c>
      <x:c r="C100" s="3" t="n">
        <x:v>6</x:v>
      </x:c>
      <x:c r="D100" s="3" t="str">
        <x:v>After a head bump</x:v>
      </x:c>
      <x:c r="E100" s="3" t="str">
        <x:v>After a head bump, someone wants to keep playing even though they feel dizzy. What is the safe choice? Tick one.</x:v>
      </x:c>
      <x:c r="F100" s="3" t="str">
        <x:v>Select: Stop playing and tell a trusted grown-up right away..</x:v>
      </x:c>
      <x:c r="G100" s="3" t="str">
        <x:v>D1.2</x:v>
      </x:c>
      <x:c r="H100" s="3" t="str">
        <x:v>Personal safety</x:v>
      </x:c>
    </x:row>
    <x:row r="101" ht="155" customHeight="1">
      <x:c r="A101" s="3" t="n">
        <x:v>3</x:v>
      </x:c>
      <x:c r="B101" s="3" t="n">
        <x:v>5</x:v>
      </x:c>
      <x:c r="C101" s="3" t="n">
        <x:v>7</x:v>
      </x:c>
      <x:c r="D101" s="3" t="str">
        <x:v>Ask before a photo</x:v>
      </x:c>
      <x:c r="E101" s="3" t="str">
        <x:v>You want to take a photo of a friend. What should you do? Tick one.</x:v>
      </x:c>
      <x:c r="F101" s="3" t="str">
        <x:v>Select: Ask first and respect their answer..</x:v>
      </x:c>
      <x:c r="G101" s="3" t="str">
        <x:v>D1.4</x:v>
      </x:c>
      <x:c r="H101" s="3" t="str">
        <x:v>Personal safety</x:v>
      </x:c>
    </x:row>
    <x:row r="102" ht="155" customHeight="1">
      <x:c r="A102" s="3" t="n">
        <x:v>3</x:v>
      </x:c>
      <x:c r="B102" s="3" t="n">
        <x:v>5</x:v>
      </x:c>
      <x:c r="C102" s="3" t="n">
        <x:v>8</x:v>
      </x:c>
      <x:c r="D102" s="3" t="str">
        <x:v>A friend needs support</x:v>
      </x:c>
      <x:c r="E102" s="3" t="str">
        <x:v>A friend looks worried and asks for help. What is a kind choice? Tick one.</x:v>
      </x:c>
      <x:c r="F102" s="3" t="str">
        <x:v>Select: Help them find a trusted grown-up..</x:v>
      </x:c>
      <x:c r="G102" s="3" t="str">
        <x:v>D1.6, D3.4</x:v>
      </x:c>
      <x:c r="H102" s="3" t="str"/>
    </x:row>
    <x:row r="103" ht="155" customHeight="1">
      <x:c r="A103" s="3" t="n">
        <x:v>3</x:v>
      </x:c>
      <x:c r="B103" s="3" t="n">
        <x:v>5</x:v>
      </x:c>
      <x:c r="C103" s="3" t="n">
        <x:v>9</x:v>
      </x:c>
      <x:c r="D103" s="3" t="str">
        <x:v>Plan foods together</x:v>
      </x:c>
      <x:c r="E103" s="3" t="str">
        <x:v>Your family is planning a meal. What should you think about? Tick two.</x:v>
      </x:c>
      <x:c r="F103" s="3" t="str">
        <x:v>Select: Foods people in our family enjoy.; Foods people can eat and we can get..</x:v>
      </x:c>
      <x:c r="G103" s="3" t="str">
        <x:v>D3.1</x:v>
      </x:c>
      <x:c r="H103" s="3" t="str"/>
    </x:row>
    <x:row r="104" ht="155" customHeight="1">
      <x:c r="A104" s="3" t="n">
        <x:v>3</x:v>
      </x:c>
      <x:c r="B104" s="3" t="n">
        <x:v>5</x:v>
      </x:c>
      <x:c r="C104" s="3" t="n">
        <x:v>10</x:v>
      </x:c>
      <x:c r="D104" s="3" t="str">
        <x:v>Keep passwords private</x:v>
      </x:c>
      <x:c r="E104" s="3" t="str">
        <x:v>A person in a game asks for your password. What should you do? Tick one.</x:v>
      </x:c>
      <x:c r="F104" s="3" t="str">
        <x:v>Select: Keep it private and tell my grown-up..</x:v>
      </x:c>
      <x:c r="G104" s="3" t="str">
        <x:v>D2.2</x:v>
      </x:c>
      <x:c r="H104" s="3" t="str">
        <x:v>Personal safety</x:v>
      </x:c>
    </x:row>
  </x:sheetData>
  <x:pageMargins left="0.7" right="0.7" top="0.75" bottom="0.75" header="0.3" footer="0.3"/>
</x:worksheet>
</file>